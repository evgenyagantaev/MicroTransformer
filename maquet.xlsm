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5F14347A-CC0A-47F8-A8D7-39A538ADC1C9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Bias1">BackProp!$G$18:$G$22</definedName>
    <definedName name="Bias2">BackProp!$O$18</definedName>
    <definedName name="current_epoch">BackProp!$K$23</definedName>
    <definedName name="d_deltaX_d_omega_pr">BackProp!$X$7</definedName>
    <definedName name="d_deltaY_d_omega_pr">BackProp!$W$7</definedName>
    <definedName name="dE_d_deltaX">BackProp!$U$7</definedName>
    <definedName name="dE_d_deltaY">BackProp!$T$7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omega_out">BackProp!$U$4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Wghts1">BackProp!$D$18:$E$22</definedName>
    <definedName name="Wghts2">BackProp!$I$18:$M$18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W4" i="2" s="1"/>
  <c r="W7" i="2" l="1"/>
  <c r="X7" i="2"/>
  <c r="T7" i="2"/>
  <c r="U7" i="2"/>
  <c r="P23" i="2"/>
  <c r="T26" i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N23" i="2"/>
  <c r="T8" i="2" l="1"/>
  <c r="T9" i="2"/>
  <c r="T17" i="2" s="1" a="1"/>
  <c r="T23" i="2" s="1"/>
  <c r="T33" i="2" s="1"/>
  <c r="Y33" i="2" s="1"/>
  <c r="X17" i="1" a="1"/>
  <c r="X17" i="1" s="1"/>
  <c r="T15" i="2" l="1"/>
  <c r="Y15" i="2" s="1"/>
  <c r="T10" i="2"/>
  <c r="Y10" i="2" s="1"/>
  <c r="T12" i="2"/>
  <c r="Y12" i="2" s="1"/>
  <c r="T13" i="2"/>
  <c r="Y13" i="2" s="1"/>
  <c r="T14" i="2"/>
  <c r="Y14" i="2" s="1"/>
  <c r="T11" i="2"/>
  <c r="Y11" i="2" s="1"/>
  <c r="T25" i="2"/>
  <c r="T35" i="2" s="1"/>
  <c r="Y35" i="2" s="1"/>
  <c r="T17" i="2"/>
  <c r="T22" i="2" s="1"/>
  <c r="T24" i="2"/>
  <c r="T34" i="2" s="1"/>
  <c r="Y34" i="2" s="1"/>
  <c r="T26" i="2"/>
  <c r="T36" i="2" s="1"/>
  <c r="Y36" i="2" s="1"/>
  <c r="S27" i="2" l="1" a="1"/>
  <c r="X28" i="2" s="1"/>
  <c r="T32" i="2"/>
  <c r="Y32" i="2" s="1"/>
  <c r="Y28" i="2" l="1"/>
  <c r="X29" i="2"/>
  <c r="Y31" i="2"/>
  <c r="Y29" i="2"/>
  <c r="Y30" i="2"/>
  <c r="X30" i="2"/>
  <c r="Y27" i="2"/>
  <c r="S27" i="2"/>
  <c r="X27" i="2" s="1"/>
  <c r="X3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<sst xmlns="http://schemas.openxmlformats.org/spreadsheetml/2006/main" count="96" uniqueCount="87">
  <si>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</si>
  <si>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</si>
  <si>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</si>
  <si>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</si>
  <si>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</si>
  <si>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</si>
  <si>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</si>
  <si>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</si>
  <si>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</si>
  <si>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</si>
  <si>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</si>
  <si>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</si>
  <si>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</si>
  <si>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</si>
  <si>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</si>
  <si>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</si>
  <si>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</si>
  <si>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</si>
  <si>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</si>
  <si>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</si>
  <si>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</si>
  <si>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</si>
  <si>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</si>
  <si>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</si>
  <si>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</si>
  <si>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</si>
  <si>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</si>
  <si>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</si>
  <si>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</si>
  <si>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</si>
  <si>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</si>
  <si>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</si>
  <si>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</si>
  <si>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</si>
  <si>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</si>
  <si>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</si>
  <si>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</si>
  <si>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</si>
  <si>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</si>
  <si>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</si>
  <si>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</si>
  <si>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</si>
  <si>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</si>
  <si>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</si>
  <si>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</si>
  <si>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</si>
  <si>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</si>
  <si>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</si>
  <si>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</si>
  <si>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</si>
  <si>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</si>
  <si>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</si>
  <si>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</si>
  <si>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</si>
  <si>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</si>
  <si>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</si>
  <si>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</si>
  <si>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</si>
  <si>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</si>
  <si>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</si>
  <si>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</si>
  <si>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</si>
  <si>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</si>
  <si>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</si>
  <si>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</si>
  <si>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</si>
  <si>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</si>
  <si>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</si>
  <si>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</si>
  <si>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</si>
  <si>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X-&gt; W1*X + B1 -&gt; H -&gt; tanh(H) -&gt;  A -&gt; W2*A + B2 -&gt; Z -&gt; sigmoid(Z) -&gt; Pr -&gt;  (Pr - Y)^2 -&gt; E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</si>
  <si>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</si>
  <si>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</si>
  <si>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</si>
  <si>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</si>
  <si>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</si>
  <si>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</si>
  <si>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 xml:space="preserve">dH/dB1 = 1 </t>
  </si>
  <si>
    <t>iterations</t>
  </si>
  <si>
    <t>target</t>
  </si>
  <si>
    <t>prediction</t>
  </si>
  <si>
    <t>error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</si>
  <si>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</si>
  <si>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</t>
  </si>
  <si>
    <t>dA/dH = 1 - tanh(H)^2</t>
  </si>
  <si>
    <t>dH/dW1 = [x^t … x^t]^t</t>
  </si>
  <si>
    <t>∂E/∂ω_pz = ∂E/∂sin(pred) * d(sin(pred))/dω_pz + ∂E/∂cos(pred) * d(cos(pred))/dω_pz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</si>
</sst>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0.85773752285985272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L33" sqref="L33"/>
    </sheetView>
  </sheetViews>
  <sheetFormatPr defaultRowHeight="15" x14ac:dyDescent="0.25"/>
  <cols>
    <col min="19" max="19" width="12.7109375" bestFit="1" customWidth="1"/>
    <col min="24" max="24" width="12.28515625" bestFit="1" customWidth="1"/>
  </cols>
  <sheetData>
    <row r="1" spans="1:26" x14ac:dyDescent="0.25">
      <c r="A1">
        <f ca="1">RAND() *2 - 1</f>
        <v>-0.47563093803508738</v>
      </c>
      <c r="B1">
        <f ca="1">RAND()</f>
        <v>0.8148597106847979</v>
      </c>
    </row>
    <row r="2" spans="1:26" x14ac:dyDescent="0.25">
      <c r="Q2" t="s">
        <v>83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71</v>
      </c>
      <c r="W3" s="1" t="s">
        <v>81</v>
      </c>
      <c r="Z3" s="2" t="s">
        <v>66</v>
      </c>
    </row>
    <row r="4" spans="1:26" x14ac:dyDescent="0.25">
      <c r="A4" s="4" t="s">
        <v>67</v>
      </c>
      <c r="B4" t="s">
        <v>68</v>
      </c>
      <c r="D4">
        <v>-0.12292917566852646</v>
      </c>
      <c r="E4">
        <v>0.70928416223492663</v>
      </c>
      <c r="G4">
        <v>0.8711502394261359</v>
      </c>
      <c r="I4">
        <v>0.47684826523597779</v>
      </c>
      <c r="J4">
        <v>0.77977681167859281</v>
      </c>
      <c r="K4">
        <v>0.48953515458338637</v>
      </c>
      <c r="L4">
        <v>-0.74813309231572456</v>
      </c>
      <c r="M4">
        <v>-0.90715602022424724</v>
      </c>
      <c r="O4">
        <v>0.80724936271039427</v>
      </c>
      <c r="Q4" cm="1">
        <f t="array" aca="1" ref="Q4" ca="1">MMULT(D4:E4, $B$5:$B$6) + G4</f>
        <v>0.1712317732175328</v>
      </c>
      <c r="R4">
        <f ca="1">(2/(1+EXP(-Q4)) - 1) * 2</f>
        <v>0.17081461542716969</v>
      </c>
      <c r="T4" cm="1">
        <f t="array" aca="1" ref="T4" ca="1">MMULT(I4:M4, R4:R8) + O4</f>
        <v>0.4958976771254775</v>
      </c>
      <c r="U4" s="6">
        <f ca="1">1/(1+EXP(-T4))</f>
        <v>0.62149478689446891</v>
      </c>
      <c r="W4" s="1">
        <f ca="1">((SIN(2*PI()*omega_in)-SIN(2*PI()*omega_out))^2+(COS(2*PI()*omega_in)-COS(2*PI()*omega_out))^2)</f>
        <v>1.3032279988452222</v>
      </c>
      <c r="Z4" s="2">
        <v>0.1</v>
      </c>
    </row>
    <row r="5" spans="1:26" x14ac:dyDescent="0.25">
      <c r="A5" s="4">
        <f ca="1">B1</f>
        <v>0.8148597106847979</v>
      </c>
      <c r="B5">
        <f ca="1">COS(2*PI()*$A$5)</f>
        <v>0.39633876900507592</v>
      </c>
      <c r="D5">
        <v>0.99190770140255724</v>
      </c>
      <c r="E5">
        <v>0.58367538667381846</v>
      </c>
      <c r="G5">
        <v>0.87918993545767776</v>
      </c>
      <c r="Q5" cm="1">
        <f t="array" aca="1" ref="Q5" ca="1">MMULT(D5:E5, $B$5:$B$6) + G5</f>
        <v>0.73644650680591606</v>
      </c>
      <c r="R5">
        <f t="shared" ref="R5:R8" ca="1" si="0">(2/(1+EXP(-Q5)) - 1) * 2</f>
        <v>0.70487326759117064</v>
      </c>
    </row>
    <row r="6" spans="1:26" x14ac:dyDescent="0.25">
      <c r="B6">
        <f ca="1">SIN(2*PI()*$A$5)</f>
        <v>-0.91810434057548218</v>
      </c>
      <c r="D6">
        <v>-0.57225912408802104</v>
      </c>
      <c r="E6">
        <v>0.46673431860599801</v>
      </c>
      <c r="G6">
        <v>0.60388338785957929</v>
      </c>
      <c r="Q6" cm="1">
        <f t="array" aca="1" ref="Q6" ca="1">MMULT(D6:E6, $B$5:$B$6) + G6</f>
        <v>-5.1435892741096723E-2</v>
      </c>
      <c r="R6">
        <f t="shared" ca="1" si="0"/>
        <v>-5.1424555621805146E-2</v>
      </c>
      <c r="T6" s="1" t="s">
        <v>70</v>
      </c>
    </row>
    <row r="7" spans="1:26" x14ac:dyDescent="0.25">
      <c r="D7">
        <v>-0.55370785461211258</v>
      </c>
      <c r="E7">
        <v>-0.75057473770296124</v>
      </c>
      <c r="G7">
        <v>-0.15284524257107845</v>
      </c>
      <c r="Q7" cm="1">
        <f t="array" aca="1" ref="Q7" ca="1">MMULT(D7:E7, $B$5:$B$6) + G7</f>
        <v>0.31680479255490801</v>
      </c>
      <c r="R7">
        <f t="shared" ca="1" si="0"/>
        <v>0.31418143542321575</v>
      </c>
      <c r="T7">
        <f ca="1">2*(SIN(2*PI()*omega_out) - SIN(2*PI()*omega_in))</f>
        <v>0.45348207381844996</v>
      </c>
      <c r="U7">
        <f ca="1">2*(COS(2*PI()*omega_out) - COS(2*PI()*omega_in))</f>
        <v>-2.2376921155749301</v>
      </c>
      <c r="W7">
        <f ca="1">COS(2*PI()*omega_out)*2*PI()</f>
        <v>-4.5396471812076653</v>
      </c>
      <c r="X7">
        <f ca="1">-SIN(2*PI()*omega_out)*2*PI()</f>
        <v>4.3439637515189657</v>
      </c>
    </row>
    <row r="8" spans="1:26" x14ac:dyDescent="0.25">
      <c r="D8">
        <v>-0.25986863006593319</v>
      </c>
      <c r="E8">
        <v>-0.62391669144798256</v>
      </c>
      <c r="G8">
        <v>0.32101648299184471</v>
      </c>
      <c r="Q8" cm="1">
        <f t="array" aca="1" ref="Q8" ca="1">MMULT(D8:E8, $B$5:$B$6) + G8</f>
        <v>0.79084109262436386</v>
      </c>
      <c r="R8">
        <f t="shared" ca="1" si="0"/>
        <v>0.75204760376535607</v>
      </c>
      <c r="T8">
        <f ca="1">dE_d_deltaY*d_deltaY_d_omega_pr + dE_d_deltaX*d_deltaX_d_omega_pr</f>
        <v>-11.779102055255416</v>
      </c>
      <c r="U8" s="5" t="s">
        <v>86</v>
      </c>
    </row>
    <row r="9" spans="1:26" x14ac:dyDescent="0.25">
      <c r="T9">
        <f ca="1">T8*U4*(1-U4)</f>
        <v>-2.7709043857641498</v>
      </c>
      <c r="U9" s="5" t="s">
        <v>72</v>
      </c>
      <c r="Y9" s="5" t="s">
        <v>75</v>
      </c>
    </row>
    <row r="10" spans="1:26" x14ac:dyDescent="0.25">
      <c r="T10">
        <f ca="1">R4*$T$9</f>
        <v>-0.47331096703976111</v>
      </c>
      <c r="U10" s="5" t="s">
        <v>73</v>
      </c>
      <c r="Y10" s="7">
        <f ca="1">-T10*$Z$4</f>
        <v>4.7331096703976117E-2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1">R5*$T$9</f>
        <v>-1.9531364285762818</v>
      </c>
      <c r="Y11" s="7">
        <f t="shared" ref="Y11:Y15" ca="1" si="2">-T11*$Z$4</f>
        <v>0.1953136428576282</v>
      </c>
    </row>
    <row r="12" spans="1:26" x14ac:dyDescent="0.25">
      <c r="D12">
        <v>-0.12292917566852646</v>
      </c>
      <c r="E12">
        <v>0.70928416223492663</v>
      </c>
      <c r="G12">
        <v>0.8711502394261359</v>
      </c>
      <c r="I12">
        <v>0.47684826523597779</v>
      </c>
      <c r="J12">
        <v>0.77977681167859281</v>
      </c>
      <c r="K12">
        <v>0.48953515458338637</v>
      </c>
      <c r="L12">
        <v>-0.74813309231572456</v>
      </c>
      <c r="M12">
        <v>-0.90715602022424724</v>
      </c>
      <c r="O12">
        <v>0.80724936271039427</v>
      </c>
      <c r="T12">
        <f t="shared" ca="1" si="1"/>
        <v>0.14249252670843235</v>
      </c>
      <c r="Y12" s="7">
        <f t="shared" ca="1" si="2"/>
        <v>-1.4249252670843236E-2</v>
      </c>
    </row>
    <row r="13" spans="1:26" x14ac:dyDescent="0.25">
      <c r="D13">
        <v>0.99190770140255724</v>
      </c>
      <c r="E13">
        <v>0.58367538667381846</v>
      </c>
      <c r="G13">
        <v>0.87918993545767776</v>
      </c>
      <c r="T13">
        <f t="shared" ca="1" si="1"/>
        <v>-0.87056671733986457</v>
      </c>
      <c r="Y13" s="7">
        <f t="shared" ca="1" si="2"/>
        <v>8.7056671733986457E-2</v>
      </c>
    </row>
    <row r="14" spans="1:26" x14ac:dyDescent="0.25">
      <c r="D14">
        <v>-0.57225912408802104</v>
      </c>
      <c r="E14">
        <v>0.46673431860599801</v>
      </c>
      <c r="G14">
        <v>0.60388338785957929</v>
      </c>
      <c r="T14">
        <f t="shared" ca="1" si="1"/>
        <v>-2.0838520035768444</v>
      </c>
      <c r="Y14" s="7">
        <f t="shared" ca="1" si="2"/>
        <v>0.20838520035768446</v>
      </c>
    </row>
    <row r="15" spans="1:26" x14ac:dyDescent="0.25">
      <c r="D15">
        <v>-0.55370785461211258</v>
      </c>
      <c r="E15">
        <v>-0.75057473770296124</v>
      </c>
      <c r="G15">
        <v>-0.15284524257107845</v>
      </c>
      <c r="T15">
        <f ca="1">T9</f>
        <v>-2.7709043857641498</v>
      </c>
      <c r="U15" s="5" t="s">
        <v>74</v>
      </c>
      <c r="Y15" s="7">
        <f t="shared" ca="1" si="2"/>
        <v>0.27709043857641497</v>
      </c>
    </row>
    <row r="16" spans="1:26" x14ac:dyDescent="0.25">
      <c r="D16">
        <v>-0.25986863006593319</v>
      </c>
      <c r="E16">
        <v>-0.62391669144798256</v>
      </c>
      <c r="G16">
        <v>0.32101648299184471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-1.3213009494863974</v>
      </c>
      <c r="U17" s="5" t="s">
        <v>76</v>
      </c>
    </row>
    <row r="18" spans="4:25" x14ac:dyDescent="0.25">
      <c r="D18">
        <v>0</v>
      </c>
      <c r="E18">
        <v>0</v>
      </c>
      <c r="G18">
        <v>0</v>
      </c>
      <c r="I18">
        <v>0</v>
      </c>
      <c r="J18">
        <v>0</v>
      </c>
      <c r="K18">
        <v>0</v>
      </c>
      <c r="L18">
        <v>0</v>
      </c>
      <c r="M18">
        <v>0</v>
      </c>
      <c r="O18">
        <v>0</v>
      </c>
      <c r="T18">
        <f ca="1"/>
        <v>-2.1606869873973982</v>
      </c>
    </row>
    <row r="19" spans="4:25" x14ac:dyDescent="0.25">
      <c r="D19">
        <v>0</v>
      </c>
      <c r="E19">
        <v>0</v>
      </c>
      <c r="G19">
        <v>0</v>
      </c>
      <c r="T19">
        <f ca="1"/>
        <v>-1.3564551068208364</v>
      </c>
    </row>
    <row r="20" spans="4:25" x14ac:dyDescent="0.25">
      <c r="D20">
        <v>0</v>
      </c>
      <c r="E20">
        <v>0</v>
      </c>
      <c r="G20">
        <v>0</v>
      </c>
      <c r="T20">
        <f ca="1"/>
        <v>2.0730052666329368</v>
      </c>
    </row>
    <row r="21" spans="4:25" x14ac:dyDescent="0.25">
      <c r="D21">
        <v>0</v>
      </c>
      <c r="E21">
        <v>0</v>
      </c>
      <c r="G21">
        <v>0</v>
      </c>
      <c r="T21">
        <f ca="1"/>
        <v>2.5136425950117185</v>
      </c>
    </row>
    <row r="22" spans="4:25" x14ac:dyDescent="0.25">
      <c r="D22">
        <v>0</v>
      </c>
      <c r="E22">
        <v>0</v>
      </c>
      <c r="G22">
        <v>0</v>
      </c>
      <c r="J22" t="s">
        <v>78</v>
      </c>
      <c r="K22">
        <v>10000</v>
      </c>
      <c r="M22" t="s">
        <v>79</v>
      </c>
      <c r="N22" t="s">
        <v>80</v>
      </c>
      <c r="P22" t="s">
        <v>81</v>
      </c>
      <c r="T22">
        <f ca="1">T17*(1-R4^2)</f>
        <v>-1.2827485155064733</v>
      </c>
      <c r="U22" s="5" t="s">
        <v>84</v>
      </c>
    </row>
    <row r="23" spans="4:25" x14ac:dyDescent="0.25">
      <c r="K23">
        <v>0</v>
      </c>
      <c r="M23" s="3">
        <f ca="1">A5</f>
        <v>0.8148597106847979</v>
      </c>
      <c r="N23" s="1">
        <f ca="1">U4</f>
        <v>0.62149478689446891</v>
      </c>
      <c r="P23" s="1">
        <f ca="1">SQRT( W4)</f>
        <v>1.141590118582507</v>
      </c>
      <c r="T23">
        <f t="shared" ref="T23:T26" ca="1" si="3">T18*(1-R5^2)</f>
        <v>-1.0871576017671503</v>
      </c>
    </row>
    <row r="24" spans="4:25" x14ac:dyDescent="0.25">
      <c r="T24">
        <f t="shared" ca="1" si="3"/>
        <v>-1.3528679817449707</v>
      </c>
    </row>
    <row r="25" spans="4:25" x14ac:dyDescent="0.25">
      <c r="T25">
        <f t="shared" ca="1" si="3"/>
        <v>1.8683789699059348</v>
      </c>
    </row>
    <row r="26" spans="4:25" x14ac:dyDescent="0.25">
      <c r="T26">
        <f t="shared" ca="1" si="3"/>
        <v>1.0919876803521678</v>
      </c>
      <c r="Y26" s="5" t="s">
        <v>75</v>
      </c>
    </row>
    <row r="27" spans="4:25" x14ac:dyDescent="0.25">
      <c r="G27" t="s">
        <v>82</v>
      </c>
      <c r="S27" cm="1">
        <f t="array" aca="1" ref="S27:T31" ca="1">MMULT(T22:T26, TRANSPOSE(B5:B6))</f>
        <v>-0.50840296757892411</v>
      </c>
      <c r="T27">
        <f ca="1"/>
        <v>1.1776969799532493</v>
      </c>
      <c r="U27" s="5" t="s">
        <v>85</v>
      </c>
      <c r="X27">
        <f ca="1">-S27*$Z$4</f>
        <v>5.0840296757892416E-2</v>
      </c>
      <c r="Y27">
        <f ca="1">-T27*$Z$4</f>
        <v>-0.11776969799532494</v>
      </c>
    </row>
    <row r="28" spans="4:25" x14ac:dyDescent="0.25">
      <c r="S28">
        <f ca="1"/>
        <v>-0.4308827055989029</v>
      </c>
      <c r="T28">
        <f ca="1"/>
        <v>0.99812411307205218</v>
      </c>
      <c r="X28">
        <f t="shared" ref="X28:X31" ca="1" si="4">-S28*$Z$4</f>
        <v>4.3088270559890292E-2</v>
      </c>
      <c r="Y28">
        <f t="shared" ref="Y28:Y36" ca="1" si="5">-T28*$Z$4</f>
        <v>-9.9812411307205223E-2</v>
      </c>
    </row>
    <row r="29" spans="4:25" x14ac:dyDescent="0.25">
      <c r="S29">
        <f ca="1"/>
        <v>-0.5361940305111832</v>
      </c>
      <c r="T29">
        <f ca="1"/>
        <v>1.2420739662656497</v>
      </c>
      <c r="X29">
        <f t="shared" ca="1" si="4"/>
        <v>5.3619403051118321E-2</v>
      </c>
      <c r="Y29">
        <f t="shared" ca="1" si="5"/>
        <v>-0.12420739662656498</v>
      </c>
    </row>
    <row r="30" spans="4:25" x14ac:dyDescent="0.25">
      <c r="S30">
        <f ca="1"/>
        <v>0.74051102096749</v>
      </c>
      <c r="T30">
        <f ca="1"/>
        <v>-1.715366842110587</v>
      </c>
      <c r="X30">
        <f t="shared" ca="1" si="4"/>
        <v>-7.4051102096749005E-2</v>
      </c>
      <c r="Y30">
        <f t="shared" ca="1" si="5"/>
        <v>0.17153668421105872</v>
      </c>
    </row>
    <row r="31" spans="4:25" x14ac:dyDescent="0.25">
      <c r="S31">
        <f ca="1"/>
        <v>0.43279705299948651</v>
      </c>
      <c r="T31">
        <f ca="1"/>
        <v>-1.0025586291862774</v>
      </c>
      <c r="X31">
        <f t="shared" ca="1" si="4"/>
        <v>-4.3279705299948651E-2</v>
      </c>
      <c r="Y31">
        <f t="shared" ca="1" si="5"/>
        <v>0.10025586291862774</v>
      </c>
    </row>
    <row r="32" spans="4:25" x14ac:dyDescent="0.25">
      <c r="T32">
        <f ca="1">T22</f>
        <v>-1.2827485155064733</v>
      </c>
      <c r="U32" s="5" t="s">
        <v>77</v>
      </c>
      <c r="Y32">
        <f t="shared" ca="1" si="5"/>
        <v>0.12827485155064733</v>
      </c>
    </row>
    <row r="33" spans="20:25" x14ac:dyDescent="0.25">
      <c r="T33">
        <f t="shared" ref="T33:T36" ca="1" si="6">T23</f>
        <v>-1.0871576017671503</v>
      </c>
      <c r="Y33">
        <f t="shared" ca="1" si="5"/>
        <v>0.10871576017671503</v>
      </c>
    </row>
    <row r="34" spans="20:25" x14ac:dyDescent="0.25">
      <c r="T34">
        <f t="shared" ca="1" si="6"/>
        <v>-1.3528679817449707</v>
      </c>
      <c r="Y34">
        <f t="shared" ca="1" si="5"/>
        <v>0.13528679817449707</v>
      </c>
    </row>
    <row r="35" spans="20:25" x14ac:dyDescent="0.25">
      <c r="T35">
        <f t="shared" ca="1" si="6"/>
        <v>1.8683789699059348</v>
      </c>
      <c r="Y35">
        <f t="shared" ca="1" si="5"/>
        <v>-0.1868378969905935</v>
      </c>
    </row>
    <row r="36" spans="20:25" x14ac:dyDescent="0.25">
      <c r="T36">
        <f t="shared" ca="1" si="6"/>
        <v>1.0919876803521678</v>
      </c>
      <c r="Y36">
        <f t="shared" ca="1" si="5"/>
        <v>-0.10919876803521678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BackProp</vt:lpstr>
      <vt:lpstr>Bias1</vt:lpstr>
      <vt:lpstr>Bias2</vt:lpstr>
      <vt:lpstr>current_epoch</vt:lpstr>
      <vt:lpstr>d_deltaX_d_omega_pr</vt:lpstr>
      <vt:lpstr>d_deltaY_d_omega_pr</vt:lpstr>
      <vt:lpstr>dE_d_deltaX</vt:lpstr>
      <vt:lpstr>dE_d_deltaY</vt:lpstr>
      <vt:lpstr>de_dpr</vt:lpstr>
      <vt:lpstr>de_dz2</vt:lpstr>
      <vt:lpstr>delta_B1</vt:lpstr>
      <vt:lpstr>delta_B2</vt:lpstr>
      <vt:lpstr>delta_W1</vt:lpstr>
      <vt:lpstr>delta_W2</vt:lpstr>
      <vt:lpstr>grad_b1</vt:lpstr>
      <vt:lpstr>grad_B2</vt:lpstr>
      <vt:lpstr>grad_W1</vt:lpstr>
      <vt:lpstr>grad_W2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omega_out</vt:lpstr>
      <vt:lpstr>SAG_B1</vt:lpstr>
      <vt:lpstr>SAG_B2</vt:lpstr>
      <vt:lpstr>SAG_W1</vt:lpstr>
      <vt:lpstr>SAG_w2</vt:lpstr>
      <vt:lpstr>Wghts1</vt:lpstr>
      <vt:lpstr>Wghts2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2025-09-27T10:13:42Z</dcterms:modified>
</cp:coreProperties>
</file>