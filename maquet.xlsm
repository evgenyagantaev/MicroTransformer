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E3AE971E-B5FB-49FD-8853-7FEFA1096967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_deltaX_d_omega_pr">BackProp!$X$7</definedName>
    <definedName name="d_deltaY_d_omega_pr">BackProp!$W$7</definedName>
    <definedName name="dE_d_deltaX">BackProp!$U$7</definedName>
    <definedName name="dE_d_deltaY">BackProp!$T$7</definedName>
    <definedName name="dE_d_omega_out">BackProp!$T$8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omega_out">BackProp!$U$4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  <definedName name="Z_out">BackProp!$T$4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I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T8" i="2" l="1"/>
  <c r="T9" i="2" s="1"/>
  <c r="T26" i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N23" i="2" l="1"/>
  <c r="W4" i="2"/>
  <c r="P23" i="2" s="1"/>
  <c r="X17" i="1" a="1"/>
  <c r="X17" i="1" s="1"/>
  <c r="T17" i="2" l="1" a="1"/>
  <c r="T15" i="2"/>
  <c r="Y15" i="2" s="1"/>
  <c r="T10" i="2"/>
  <c r="Y10" i="2" s="1"/>
  <c r="T12" i="2"/>
  <c r="Y12" i="2" s="1"/>
  <c r="T13" i="2"/>
  <c r="Y13" i="2" s="1"/>
  <c r="T14" i="2"/>
  <c r="Y14" i="2" s="1"/>
  <c r="T11" i="2"/>
  <c r="Y11" i="2" s="1"/>
  <c r="T23" i="2" l="1"/>
  <c r="T33" i="2" s="1"/>
  <c r="Y33" i="2" s="1"/>
  <c r="T25" i="2"/>
  <c r="T35" i="2" s="1"/>
  <c r="Y35" i="2" s="1"/>
  <c r="T17" i="2"/>
  <c r="T22" i="2" s="1"/>
  <c r="T32" i="2" s="1"/>
  <c r="Y32" i="2" s="1"/>
  <c r="T24" i="2"/>
  <c r="T34" i="2" s="1"/>
  <c r="Y34" i="2" s="1"/>
  <c r="T26" i="2"/>
  <c r="T36" i="2" s="1"/>
  <c r="Y36" i="2" s="1"/>
  <c r="S27" i="2" l="1" a="1"/>
  <c r="X28" i="2" s="1"/>
  <c r="S27" i="2" l="1"/>
  <c r="X27" i="2" s="1"/>
  <c r="Y27" i="2"/>
  <c r="X30" i="2"/>
  <c r="Y30" i="2"/>
  <c r="Y29" i="2"/>
  <c r="Y31" i="2"/>
  <c r="X29" i="2"/>
  <c r="X31" i="2"/>
  <c r="Y2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<sst xmlns="http://schemas.openxmlformats.org/spreadsheetml/2006/main" count="94" uniqueCount="85">
  <si>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</si>
  <si>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</si>
  <si>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</si>
  <si>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</si>
  <si>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</si>
  <si>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</si>
  <si>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</si>
  <si>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</si>
  <si>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</si>
  <si>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</si>
  <si>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</si>
  <si>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</si>
  <si>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</si>
  <si>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</si>
  <si>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</si>
  <si>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</si>
  <si>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</si>
  <si>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</si>
  <si>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</si>
  <si>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</si>
  <si>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</si>
  <si>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</si>
  <si>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</si>
  <si>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</si>
  <si>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</si>
  <si>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</si>
  <si>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</si>
  <si>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</si>
  <si>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</si>
  <si>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</si>
  <si>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</si>
  <si>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</si>
  <si>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</si>
  <si>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</si>
  <si>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</si>
  <si>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</si>
  <si>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</si>
  <si>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</si>
  <si>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</si>
  <si>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</si>
  <si>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</si>
  <si>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</si>
  <si>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</si>
  <si>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</si>
  <si>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</si>
  <si>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</si>
  <si>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</si>
  <si>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</si>
  <si>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</si>
  <si>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</si>
  <si>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</si>
  <si>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</si>
  <si>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</si>
  <si>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</si>
  <si>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</si>
  <si>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</si>
  <si>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</si>
  <si>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</si>
  <si>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</si>
  <si>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</si>
  <si>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</si>
  <si>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</si>
  <si>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</si>
  <si>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</si>
  <si>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</si>
  <si>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</si>
  <si>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</si>
  <si>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</si>
  <si>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</si>
  <si>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</si>
  <si>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X-&gt; W1*X + B1 -&gt; H -&gt; tanh(H) -&gt;  A -&gt; W2*A + B2 -&gt; Z -&gt; sigmoid(Z) -&gt; Pr -&gt;  (Pr - Y)^2 -&gt; E</t>
  </si>
  <si>
    <t>Pr=sigmoid(z)</t>
  </si>
  <si>
    <t>dZ/dW2 = A</t>
  </si>
  <si>
    <t>dZ/dB2 = 1</t>
  </si>
  <si>
    <t>Scaled Anti Gradients</t>
  </si>
  <si>
    <t>dZ/dA = W2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</si>
  <si>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</si>
  <si>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</si>
  <si>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</si>
  <si>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</si>
  <si>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</si>
  <si>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</si>
  <si>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</t>
  </si>
  <si>
    <t>dA/dH = 1 - tanh(H)^2</t>
  </si>
  <si>
    <t>dH/dW1 = [x^t … x^t]^t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</si>
</sst>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0.98844391638723916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N31" sqref="N31"/>
    </sheetView>
  </sheetViews>
  <sheetFormatPr defaultRowHeight="15" x14ac:dyDescent="0.25"/>
  <cols>
    <col min="19" max="19" width="12.7109375" bestFit="1" customWidth="1"/>
    <col min="24" max="24" width="12.28515625" bestFit="1" customWidth="1"/>
  </cols>
  <sheetData>
    <row r="1" spans="1:26" x14ac:dyDescent="0.25">
      <c r="A1">
        <f ca="1">RAND() *2 - 1</f>
        <v>0.35953489030310015</v>
      </c>
      <c r="B1">
        <f ca="1">RAND()</f>
        <v>0.53097449265401353</v>
      </c>
    </row>
    <row r="2" spans="1:26" x14ac:dyDescent="0.25">
      <c r="Q2" t="s">
        <v>82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71</v>
      </c>
      <c r="W3" s="1" t="s">
        <v>80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-2.9603006717659759</v>
      </c>
      <c r="E4">
        <f>E12+E18</f>
        <v>3.0719313503071399</v>
      </c>
      <c r="G4">
        <f>G12+G18</f>
        <v>3.3652429731410152</v>
      </c>
      <c r="I4">
        <f>I12+I18</f>
        <v>-1.1954788380108428</v>
      </c>
      <c r="J4">
        <f t="shared" ref="J4:O4" si="0">J12+J18</f>
        <v>-0.38759760914765629</v>
      </c>
      <c r="K4">
        <f t="shared" si="0"/>
        <v>0.3904660379258918</v>
      </c>
      <c r="L4">
        <f t="shared" si="0"/>
        <v>0.83406003164186515</v>
      </c>
      <c r="M4">
        <f t="shared" si="0"/>
        <v>-0.13959347637226657</v>
      </c>
      <c r="O4">
        <f t="shared" si="0"/>
        <v>0.94466764552214133</v>
      </c>
      <c r="Q4" cm="1">
        <f t="array" aca="1" ref="Q4" ca="1">MMULT(D4:E4, $B$5:$B$6) + G4</f>
        <v>5.6755700308050088</v>
      </c>
      <c r="R4">
        <f ca="1">(2/(1+EXP(-Q4)) - 1) * 2</f>
        <v>1.9863320078490454</v>
      </c>
      <c r="T4" cm="1">
        <f t="array" aca="1" ref="T4" ca="1">MMULT(I4:M4, R4:R8) + O4</f>
        <v>0.23115353897065394</v>
      </c>
      <c r="U4" s="6">
        <f ca="1">1/(1+EXP(-T4))</f>
        <v>0.55753244000360325</v>
      </c>
      <c r="W4" s="1">
        <f ca="1">(omega_out - omega_in)^2</f>
        <v>7.0532456742357949E-4</v>
      </c>
      <c r="Z4" s="2">
        <v>7.4999999999999997E-2</v>
      </c>
    </row>
    <row r="5" spans="1:26" x14ac:dyDescent="0.25">
      <c r="A5" s="4">
        <f ca="1">B1</f>
        <v>0.53097449265401353</v>
      </c>
      <c r="B5">
        <f ca="1">COS(2*PI()*$A$5)</f>
        <v>-0.98112152450967616</v>
      </c>
      <c r="D5">
        <f t="shared" ref="D5:E5" si="1">D13+D19</f>
        <v>1.1270737679801845</v>
      </c>
      <c r="E5">
        <f t="shared" si="1"/>
        <v>-0.12124271657521028</v>
      </c>
      <c r="G5">
        <f t="shared" ref="G5:G8" si="2">G13+G19</f>
        <v>0.95407277147000169</v>
      </c>
      <c r="Q5" cm="1">
        <f t="array" aca="1" ref="Q5" ca="1">MMULT(D5:E5, $B$5:$B$6) + G5</f>
        <v>-0.12827616282648324</v>
      </c>
      <c r="R5">
        <f t="shared" ref="R5:R8" ca="1" si="3">(2/(1+EXP(-Q5)) - 1) * 2</f>
        <v>-0.12810055550683064</v>
      </c>
    </row>
    <row r="6" spans="1:26" x14ac:dyDescent="0.25">
      <c r="B6">
        <f ca="1">SIN(2*PI()*$A$5)</f>
        <v>-0.19339222875754086</v>
      </c>
      <c r="D6">
        <f t="shared" ref="D6:E6" si="4">D14+D20</f>
        <v>-0.74608140198467821</v>
      </c>
      <c r="E6">
        <f t="shared" si="4"/>
        <v>0.39732328868221639</v>
      </c>
      <c r="G6">
        <f t="shared" si="2"/>
        <v>0.53176100416997052</v>
      </c>
      <c r="Q6" cm="1">
        <f t="array" aca="1" ref="Q6" ca="1">MMULT(D6:E6, $B$5:$B$6) + G6</f>
        <v>1.1869182903579649</v>
      </c>
      <c r="R6">
        <f t="shared" ca="1" si="3"/>
        <v>1.0647577996378512</v>
      </c>
      <c r="T6" s="1" t="s">
        <v>70</v>
      </c>
    </row>
    <row r="7" spans="1:26" x14ac:dyDescent="0.25">
      <c r="D7">
        <f t="shared" ref="D7:E7" si="5">D15+D21</f>
        <v>-0.87644425521304492</v>
      </c>
      <c r="E7">
        <f t="shared" si="5"/>
        <v>-1.0752580960084115</v>
      </c>
      <c r="G7">
        <f t="shared" si="2"/>
        <v>1.173071490677595</v>
      </c>
      <c r="Q7" cm="1">
        <f t="array" aca="1" ref="Q7" ca="1">MMULT(D7:E7, $B$5:$B$6) + G7</f>
        <v>2.2409163741766216</v>
      </c>
      <c r="R7">
        <f t="shared" ca="1" si="3"/>
        <v>1.6154564599077768</v>
      </c>
    </row>
    <row r="8" spans="1:26" x14ac:dyDescent="0.25">
      <c r="D8">
        <f t="shared" ref="D8:E8" si="6">D16+D22</f>
        <v>-0.41911722032250315</v>
      </c>
      <c r="E8">
        <f t="shared" si="6"/>
        <v>0.54299228782596898</v>
      </c>
      <c r="G8">
        <f t="shared" si="2"/>
        <v>0.91150638658285776</v>
      </c>
      <c r="Q8" cm="1">
        <f t="array" aca="1" ref="Q8" ca="1">MMULT(D8:E8, $B$5:$B$6) + G8</f>
        <v>1.2177008239931095</v>
      </c>
      <c r="R8">
        <f t="shared" ca="1" si="3"/>
        <v>1.0866347363310931</v>
      </c>
      <c r="T8">
        <f ca="1">omega_out - omega_in</f>
        <v>2.6557947349589717E-2</v>
      </c>
      <c r="U8" s="5"/>
    </row>
    <row r="9" spans="1:26" x14ac:dyDescent="0.25">
      <c r="T9">
        <f ca="1">dE_d_omega_out*omega_out*(1-omega_out)</f>
        <v>6.5515805189351028E-3</v>
      </c>
      <c r="U9" s="5"/>
      <c r="Y9" s="5" t="s">
        <v>74</v>
      </c>
    </row>
    <row r="10" spans="1:26" x14ac:dyDescent="0.25">
      <c r="T10">
        <f ca="1">R4*$T$9</f>
        <v>1.3013614086761053E-2</v>
      </c>
      <c r="U10" s="5" t="s">
        <v>72</v>
      </c>
      <c r="Y10" s="7">
        <f ca="1">-T10*$Z$4</f>
        <v>-9.7602105650707895E-4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-8.3926110392331646E-4</v>
      </c>
      <c r="Y11" s="7">
        <f t="shared" ref="Y11:Y15" ca="1" si="8">-T11*$Z$4</f>
        <v>6.2944582794248732E-5</v>
      </c>
    </row>
    <row r="12" spans="1:26" x14ac:dyDescent="0.25">
      <c r="D12">
        <v>-2.9595828312588774</v>
      </c>
      <c r="E12">
        <v>3.0697746623112057</v>
      </c>
      <c r="G12">
        <v>3.3629699579396939</v>
      </c>
      <c r="I12">
        <v>-1.1967471308850612</v>
      </c>
      <c r="J12">
        <v>-0.38789908134841761</v>
      </c>
      <c r="K12">
        <v>0.38980933937706747</v>
      </c>
      <c r="L12">
        <v>0.83379225399090595</v>
      </c>
      <c r="M12">
        <v>-0.14042209716048612</v>
      </c>
      <c r="O12">
        <v>0.94403255755102078</v>
      </c>
      <c r="T12">
        <f t="shared" ca="1" si="7"/>
        <v>6.9758464574915515E-3</v>
      </c>
      <c r="Y12" s="7">
        <f t="shared" ca="1" si="8"/>
        <v>-5.2318848431186639E-4</v>
      </c>
    </row>
    <row r="13" spans="1:26" x14ac:dyDescent="0.25">
      <c r="D13">
        <v>1.1270134812831678</v>
      </c>
      <c r="E13">
        <v>-0.12106159055280698</v>
      </c>
      <c r="G13">
        <v>0.95426366704833931</v>
      </c>
      <c r="T13">
        <f t="shared" ca="1" si="7"/>
        <v>1.0583793071919655E-2</v>
      </c>
      <c r="Y13" s="7">
        <f t="shared" ca="1" si="8"/>
        <v>-7.9378448039397413E-4</v>
      </c>
    </row>
    <row r="14" spans="1:26" x14ac:dyDescent="0.25">
      <c r="D14">
        <v>-0.74608680479641554</v>
      </c>
      <c r="E14">
        <v>0.39733952094983438</v>
      </c>
      <c r="G14">
        <v>0.53177811197189506</v>
      </c>
      <c r="T14">
        <f t="shared" ca="1" si="7"/>
        <v>7.1191749697449716E-3</v>
      </c>
      <c r="Y14" s="7">
        <f t="shared" ca="1" si="8"/>
        <v>-5.3393812273087285E-4</v>
      </c>
    </row>
    <row r="15" spans="1:26" x14ac:dyDescent="0.25">
      <c r="D15">
        <v>-0.87630680326560406</v>
      </c>
      <c r="E15">
        <v>-1.0756710581666236</v>
      </c>
      <c r="G15">
        <v>1.1726362542108661</v>
      </c>
      <c r="T15">
        <f ca="1">T9</f>
        <v>6.5515805189351028E-3</v>
      </c>
      <c r="U15" s="5" t="s">
        <v>73</v>
      </c>
      <c r="Y15" s="7">
        <f t="shared" ca="1" si="8"/>
        <v>-4.9136853892013264E-4</v>
      </c>
    </row>
    <row r="16" spans="1:26" x14ac:dyDescent="0.25">
      <c r="D16">
        <v>-0.41909734185469349</v>
      </c>
      <c r="E16">
        <v>0.54293256473639862</v>
      </c>
      <c r="G16">
        <v>0.91144344215569939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-7.832275865911011E-3</v>
      </c>
      <c r="U17" s="5" t="s">
        <v>75</v>
      </c>
    </row>
    <row r="18" spans="4:25" x14ac:dyDescent="0.25">
      <c r="D18">
        <v>-7.1784050709826743E-4</v>
      </c>
      <c r="E18">
        <v>2.1566879959340705E-3</v>
      </c>
      <c r="G18">
        <v>2.2730152013211912E-3</v>
      </c>
      <c r="I18">
        <v>1.268292874218482E-3</v>
      </c>
      <c r="J18">
        <v>3.0147220076133719E-4</v>
      </c>
      <c r="K18">
        <v>6.566985488243236E-4</v>
      </c>
      <c r="L18">
        <v>2.6777765095917217E-4</v>
      </c>
      <c r="M18">
        <v>8.286207882195496E-4</v>
      </c>
      <c r="O18">
        <v>6.3508797112049912E-4</v>
      </c>
      <c r="T18">
        <f ca="1"/>
        <v>-2.5393769452776069E-3</v>
      </c>
    </row>
    <row r="19" spans="4:25" x14ac:dyDescent="0.25">
      <c r="D19">
        <v>6.0286697016814327E-5</v>
      </c>
      <c r="E19">
        <v>-1.8112602240330107E-4</v>
      </c>
      <c r="G19">
        <v>-1.9089557833757779E-4</v>
      </c>
      <c r="T19">
        <f ca="1"/>
        <v>2.5581696873810478E-3</v>
      </c>
    </row>
    <row r="20" spans="4:25" x14ac:dyDescent="0.25">
      <c r="D20">
        <v>5.4028117373487852E-6</v>
      </c>
      <c r="E20">
        <v>-1.6232267617960883E-5</v>
      </c>
      <c r="G20">
        <v>-1.710780192457042E-5</v>
      </c>
      <c r="T20">
        <f ca="1"/>
        <v>5.4644114549272389E-3</v>
      </c>
    </row>
    <row r="21" spans="4:25" x14ac:dyDescent="0.25">
      <c r="D21">
        <v>-1.3745194744082756E-4</v>
      </c>
      <c r="E21">
        <v>4.1296215821213454E-4</v>
      </c>
      <c r="G21">
        <v>4.3523646672871983E-4</v>
      </c>
      <c r="T21">
        <f ca="1"/>
        <v>-9.1455790037096927E-4</v>
      </c>
    </row>
    <row r="22" spans="4:25" x14ac:dyDescent="0.25">
      <c r="D22">
        <v>-1.9878467809673437E-5</v>
      </c>
      <c r="E22">
        <v>5.9723089570390747E-5</v>
      </c>
      <c r="G22">
        <v>6.2944427158352458E-5</v>
      </c>
      <c r="J22" t="s">
        <v>77</v>
      </c>
      <c r="K22">
        <v>10000</v>
      </c>
      <c r="M22" t="s">
        <v>78</v>
      </c>
      <c r="N22" t="s">
        <v>79</v>
      </c>
      <c r="P22" t="s">
        <v>80</v>
      </c>
      <c r="T22">
        <f ca="1">T17*(1-R4^2)</f>
        <v>2.3070084836353043E-2</v>
      </c>
      <c r="U22" s="5" t="s">
        <v>83</v>
      </c>
    </row>
    <row r="23" spans="4:25" x14ac:dyDescent="0.25">
      <c r="K23">
        <v>10000</v>
      </c>
      <c r="M23" s="3">
        <f ca="1">A5</f>
        <v>0.53097449265401353</v>
      </c>
      <c r="N23" s="1">
        <f ca="1">U4</f>
        <v>0.55753244000360325</v>
      </c>
      <c r="P23" s="1">
        <f ca="1">SQRT( W4)</f>
        <v>2.6557947349589717E-2</v>
      </c>
      <c r="T23">
        <f t="shared" ref="T23:T26" ca="1" si="9">T18*(1-R5^2)</f>
        <v>-2.4977063985555411E-3</v>
      </c>
    </row>
    <row r="24" spans="4:25" x14ac:dyDescent="0.25">
      <c r="T24">
        <f t="shared" ca="1" si="9"/>
        <v>-3.4205075045289557E-4</v>
      </c>
    </row>
    <row r="25" spans="4:25" x14ac:dyDescent="0.25">
      <c r="T25">
        <f t="shared" ca="1" si="9"/>
        <v>-8.7960607903798723E-3</v>
      </c>
    </row>
    <row r="26" spans="4:25" x14ac:dyDescent="0.25">
      <c r="T26">
        <f t="shared" ca="1" si="9"/>
        <v>1.6532925035159783E-4</v>
      </c>
      <c r="Y26" s="5" t="s">
        <v>74</v>
      </c>
    </row>
    <row r="27" spans="4:25" x14ac:dyDescent="0.25">
      <c r="G27" t="s">
        <v>81</v>
      </c>
      <c r="S27" cm="1">
        <f t="array" aca="1" ref="S27:T31" ca="1">MMULT(T22:T26, TRANSPOSE(B5:B6))</f>
        <v>-2.263455680521026E-2</v>
      </c>
      <c r="T27">
        <f ca="1"/>
        <v>-4.4615751241278622E-3</v>
      </c>
      <c r="U27" s="5" t="s">
        <v>84</v>
      </c>
      <c r="X27">
        <f ca="1">-S27*$Z$4</f>
        <v>1.6975917603907695E-3</v>
      </c>
      <c r="Y27">
        <f ca="1">-T27*$Z$4</f>
        <v>3.3461813430958967E-4</v>
      </c>
    </row>
    <row r="28" spans="4:25" x14ac:dyDescent="0.25">
      <c r="S28">
        <f ca="1"/>
        <v>2.4505535095283855E-3</v>
      </c>
      <c r="T28">
        <f ca="1"/>
        <v>4.8303700719862675E-4</v>
      </c>
      <c r="X28">
        <f t="shared" ref="X28:X31" ca="1" si="10">-S28*$Z$4</f>
        <v>-1.8379151321462891E-4</v>
      </c>
      <c r="Y28">
        <f t="shared" ref="Y28:Y36" ca="1" si="11">-T28*$Z$4</f>
        <v>-3.6227775539897002E-5</v>
      </c>
    </row>
    <row r="29" spans="4:25" x14ac:dyDescent="0.25">
      <c r="S29">
        <f ca="1"/>
        <v>3.3559335374402368E-4</v>
      </c>
      <c r="T29">
        <f ca="1"/>
        <v>6.6149956978274897E-5</v>
      </c>
      <c r="X29">
        <f t="shared" ca="1" si="10"/>
        <v>-2.5169501530801775E-5</v>
      </c>
      <c r="Y29">
        <f t="shared" ca="1" si="11"/>
        <v>-4.9612467733706169E-6</v>
      </c>
    </row>
    <row r="30" spans="4:25" x14ac:dyDescent="0.25">
      <c r="S30">
        <f ca="1"/>
        <v>8.6300045723372871E-3</v>
      </c>
      <c r="T30">
        <f ca="1"/>
        <v>1.70108980053838E-3</v>
      </c>
      <c r="X30">
        <f t="shared" ca="1" si="10"/>
        <v>-6.4725034292529649E-4</v>
      </c>
      <c r="Y30">
        <f t="shared" ca="1" si="11"/>
        <v>-1.2758173504037848E-4</v>
      </c>
    </row>
    <row r="31" spans="4:25" x14ac:dyDescent="0.25">
      <c r="S31">
        <f ca="1"/>
        <v>-1.6220808615100156E-4</v>
      </c>
      <c r="T31">
        <f ca="1"/>
        <v>-3.1973392204308947E-5</v>
      </c>
      <c r="X31">
        <f t="shared" ca="1" si="10"/>
        <v>1.2165606461325116E-5</v>
      </c>
      <c r="Y31">
        <f t="shared" ca="1" si="11"/>
        <v>2.3980044153231708E-6</v>
      </c>
    </row>
    <row r="32" spans="4:25" x14ac:dyDescent="0.25">
      <c r="T32">
        <f ca="1">T22</f>
        <v>2.3070084836353043E-2</v>
      </c>
      <c r="U32" s="5" t="s">
        <v>76</v>
      </c>
      <c r="Y32">
        <f t="shared" ca="1" si="11"/>
        <v>-1.7302563627264783E-3</v>
      </c>
    </row>
    <row r="33" spans="20:25" x14ac:dyDescent="0.25">
      <c r="T33">
        <f t="shared" ref="T33:T36" ca="1" si="12">T23</f>
        <v>-2.4977063985555411E-3</v>
      </c>
      <c r="Y33">
        <f t="shared" ca="1" si="11"/>
        <v>1.8732797989166558E-4</v>
      </c>
    </row>
    <row r="34" spans="20:25" x14ac:dyDescent="0.25">
      <c r="T34">
        <f t="shared" ca="1" si="12"/>
        <v>-3.4205075045289557E-4</v>
      </c>
      <c r="Y34">
        <f t="shared" ca="1" si="11"/>
        <v>2.5653806283967167E-5</v>
      </c>
    </row>
    <row r="35" spans="20:25" x14ac:dyDescent="0.25">
      <c r="T35">
        <f t="shared" ca="1" si="12"/>
        <v>-8.7960607903798723E-3</v>
      </c>
      <c r="Y35">
        <f t="shared" ca="1" si="11"/>
        <v>6.5970455927849038E-4</v>
      </c>
    </row>
    <row r="36" spans="20:25" x14ac:dyDescent="0.25">
      <c r="T36">
        <f t="shared" ca="1" si="12"/>
        <v>1.6532925035159783E-4</v>
      </c>
      <c r="Y36">
        <f t="shared" ca="1" si="11"/>
        <v>-1.2399693776369837E-5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Sheet1</vt:lpstr>
      <vt:lpstr>BackProp</vt:lpstr>
      <vt:lpstr>Bias1</vt:lpstr>
      <vt:lpstr>Bias2</vt:lpstr>
      <vt:lpstr>current_epoch</vt:lpstr>
      <vt:lpstr>d_deltaX_d_omega_pr</vt:lpstr>
      <vt:lpstr>d_deltaY_d_omega_pr</vt:lpstr>
      <vt:lpstr>dE_d_deltaX</vt:lpstr>
      <vt:lpstr>dE_d_deltaY</vt:lpstr>
      <vt:lpstr>dE_d_omega_out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omega_out</vt:lpstr>
      <vt:lpstr>SAG_B1</vt:lpstr>
      <vt:lpstr>SAG_B2</vt:lpstr>
      <vt:lpstr>SAG_W1</vt:lpstr>
      <vt:lpstr>SAG_w2</vt:lpstr>
      <vt:lpstr>Wghts1</vt:lpstr>
      <vt:lpstr>Wghts2</vt:lpstr>
      <vt:lpstr>Z_out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2025-09-28T11:49:26Z</dcterms:modified>
</cp:coreProperties>
</file>