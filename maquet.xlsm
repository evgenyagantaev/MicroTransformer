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9E3847C3-9E3A-417D-8DB2-8BF964DF83E2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T26" i="1" l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W4" i="2"/>
  <c r="P23" i="2" s="1"/>
  <c r="N23" i="2"/>
  <c r="T8" i="2"/>
  <c r="T9" i="2" s="1"/>
  <c r="T17" i="2" s="1" a="1"/>
  <c r="T23" i="2" s="1"/>
  <c r="T33" i="2" s="1"/>
  <c r="Y33" i="2" s="1"/>
  <c r="X17" i="1" l="1" a="1"/>
  <c r="X17" i="1" s="1"/>
  <c r="T11" i="2"/>
  <c r="Y11" i="2" s="1"/>
  <c r="T14" i="2"/>
  <c r="Y14" i="2" s="1"/>
  <c r="T13" i="2"/>
  <c r="Y13" i="2" s="1"/>
  <c r="T12" i="2"/>
  <c r="Y12" i="2" s="1"/>
  <c r="T17" i="2"/>
  <c r="T22" i="2" s="1"/>
  <c r="T25" i="2"/>
  <c r="T35" i="2" s="1"/>
  <c r="Y35" i="2" s="1"/>
  <c r="T10" i="2"/>
  <c r="Y10" i="2" s="1"/>
  <c r="T26" i="2"/>
  <c r="T36" i="2" s="1"/>
  <c r="Y36" i="2" s="1"/>
  <c r="T15" i="2"/>
  <c r="Y15" i="2" s="1"/>
  <c r="T24" i="2"/>
  <c r="T34" i="2" s="1"/>
  <c r="Y34" i="2" s="1"/>
  <c r="S27" i="2" l="1" a="1"/>
  <c r="X28" i="2" s="1"/>
  <c r="T32" i="2"/>
  <c r="Y32" i="2" s="1"/>
  <c r="X31" i="2" l="1"/>
  <c r="Y30" i="2"/>
  <c r="Y29" i="2"/>
  <c r="Y31" i="2"/>
  <c r="X29" i="2"/>
  <c r="Y28" i="2"/>
  <c r="Y27" i="2"/>
  <c r="X30" i="2"/>
  <c r="S27" i="2"/>
  <c r="X27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<sst xmlns="http://schemas.openxmlformats.org/spreadsheetml/2006/main" count="94" uniqueCount="86">
  <si>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</si>
  <si>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</si>
  <si>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</si>
  <si>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</si>
  <si>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</si>
  <si>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</si>
  <si>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</si>
  <si>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</si>
  <si>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</si>
  <si>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</si>
  <si>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</si>
  <si>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</si>
  <si>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</si>
  <si>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</si>
  <si>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</si>
  <si>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</si>
  <si>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</si>
  <si>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</si>
  <si>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</si>
  <si>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</si>
  <si>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</si>
  <si>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</si>
  <si>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</si>
  <si>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</si>
  <si>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</si>
  <si>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</si>
  <si>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</si>
  <si>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</si>
  <si>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</si>
  <si>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</si>
  <si>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</si>
  <si>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</si>
  <si>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</si>
  <si>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</si>
  <si>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</si>
  <si>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</si>
  <si>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</si>
  <si>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</si>
  <si>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</si>
  <si>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</si>
  <si>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</si>
  <si>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</si>
  <si>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</si>
  <si>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</si>
  <si>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</si>
  <si>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</si>
  <si>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</si>
  <si>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</si>
  <si>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</si>
  <si>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</si>
  <si>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</si>
  <si>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</si>
  <si>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</si>
  <si>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</si>
  <si>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</si>
  <si>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</si>
  <si>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</si>
  <si>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</si>
  <si>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</si>
  <si>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</si>
  <si>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</si>
  <si>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</si>
  <si>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</si>
  <si>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</si>
  <si>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</si>
  <si>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</si>
  <si>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</si>
  <si>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</si>
  <si>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</si>
  <si>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</si>
  <si>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error = (Pr - Y)^2</t>
  </si>
  <si>
    <t>X-&gt; W1*X + B1 -&gt; H -&gt; tanh(H) -&gt;  A -&gt; W2*A + B2 -&gt; Z -&gt; sigmoid(Z) -&gt; Pr -&gt;  (Pr - Y)^2 -&gt; E</t>
  </si>
  <si>
    <t>dE/dPr = 2(Pr - Y)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</si>
  <si>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</si>
  <si>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</si>
  <si>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</si>
  <si>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</si>
  <si>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</si>
  <si>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</si>
  <si>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>dA/dH = 1 - tanh(H)</t>
  </si>
  <si>
    <t xml:space="preserve">dH/dW1 = </t>
  </si>
  <si>
    <t xml:space="preserve">dH/dB1 = 1 </t>
  </si>
  <si>
    <t>iterations</t>
  </si>
  <si>
    <t>target</t>
  </si>
  <si>
    <t>prediction</t>
  </si>
  <si>
    <t>error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</si>
</sst>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0.23451620386368888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I31" sqref="I31"/>
    </sheetView>
  </sheetViews>
  <sheetFormatPr defaultRowHeight="15" x14ac:dyDescent="0.25"/>
  <cols>
    <col min="19" max="19" width="12.7109375" bestFit="1" customWidth="1"/>
  </cols>
  <sheetData>
    <row r="1" spans="1:26" x14ac:dyDescent="0.25">
      <c r="A1">
        <f ca="1">RAND() *2 - 1</f>
        <v>-0.34958239312782813</v>
      </c>
      <c r="B1">
        <f ca="1">RAND()</f>
        <v>0.8506059481898649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73</v>
      </c>
      <c r="W3" s="1" t="s">
        <v>70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0.33873629668186933</v>
      </c>
      <c r="E4">
        <f>E12+E18</f>
        <v>-0.76846075146201598</v>
      </c>
      <c r="G4">
        <f>G12+G18</f>
        <v>-1.1126936384647277</v>
      </c>
      <c r="I4">
        <f>I12+I18</f>
        <v>-0.51623960390007329</v>
      </c>
      <c r="J4">
        <f t="shared" ref="J4:O4" si="0">J12+J18</f>
        <v>1.3072384771796384</v>
      </c>
      <c r="K4">
        <f t="shared" si="0"/>
        <v>-1.4144254894071349</v>
      </c>
      <c r="L4">
        <f t="shared" si="0"/>
        <v>1.7275758996483193</v>
      </c>
      <c r="M4">
        <f t="shared" si="0"/>
        <v>0.28234395430842574</v>
      </c>
      <c r="O4">
        <f t="shared" si="0"/>
        <v>2.4644424577679653</v>
      </c>
      <c r="Q4" cm="1">
        <f t="array" aca="1" ref="Q4" ca="1">MMULT(D4:E4, $B$5:$B$6) + G4</f>
        <v>-0.29257392943019589</v>
      </c>
      <c r="R4">
        <f ca="1">(2/(1+EXP(-Q4)) - 1) * 2</f>
        <v>-0.29050462549132927</v>
      </c>
      <c r="T4" cm="1">
        <f t="array" aca="1" ref="T4" ca="1">MMULT(I4:M4, R4:R8) + O4</f>
        <v>2.678385425786729</v>
      </c>
      <c r="U4" s="6">
        <f ca="1">1/(1+EXP(-T4))</f>
        <v>0.93573910521172832</v>
      </c>
      <c r="W4" s="1">
        <f ca="1">(U4-A5)*(U4-A5)</f>
        <v>7.2476544245092525E-3</v>
      </c>
      <c r="Z4" s="2">
        <v>0.1</v>
      </c>
    </row>
    <row r="5" spans="1:26" x14ac:dyDescent="0.25">
      <c r="A5" s="4">
        <f ca="1">B1</f>
        <v>0.8506059481898649</v>
      </c>
      <c r="B5">
        <f ca="1">COS(2*PI()*$A$5)</f>
        <v>0.59086114283608626</v>
      </c>
      <c r="D5">
        <f t="shared" ref="D5:E5" si="1">D13+D19</f>
        <v>-2.8756847672964625</v>
      </c>
      <c r="E5">
        <f t="shared" si="1"/>
        <v>1.5453599210355233</v>
      </c>
      <c r="G5">
        <f t="shared" ref="G5:G8" si="2">G13+G19</f>
        <v>-0.45736211661886239</v>
      </c>
      <c r="Q5" cm="1">
        <f t="array" aca="1" ref="Q5" ca="1">MMULT(D5:E5, $B$5:$B$6) + G5</f>
        <v>-3.4032475821511086</v>
      </c>
      <c r="R5">
        <f t="shared" ref="R5:R8" ca="1" si="3">(2/(1+EXP(-Q5)) - 1) * 2</f>
        <v>-1.8712235049638861</v>
      </c>
    </row>
    <row r="6" spans="1:26" x14ac:dyDescent="0.25">
      <c r="B6">
        <f ca="1">SIN(2*PI()*$A$5)</f>
        <v>-0.80677327043379055</v>
      </c>
      <c r="D6">
        <f t="shared" ref="D6:E6" si="4">D14+D20</f>
        <v>-1.01211742630095</v>
      </c>
      <c r="E6">
        <f t="shared" si="4"/>
        <v>1.4850132622531438</v>
      </c>
      <c r="G6">
        <f t="shared" si="2"/>
        <v>1.080914072515119</v>
      </c>
      <c r="Q6" cm="1">
        <f t="array" aca="1" ref="Q6" ca="1">MMULT(D6:E6, $B$5:$B$6) + G6</f>
        <v>-0.71517579289889976</v>
      </c>
      <c r="R6">
        <f t="shared" ca="1" si="3"/>
        <v>-0.68617524205082692</v>
      </c>
      <c r="T6" s="1" t="s">
        <v>71</v>
      </c>
    </row>
    <row r="7" spans="1:26" x14ac:dyDescent="0.25">
      <c r="D7">
        <f t="shared" ref="D7:E7" si="5">D15+D21</f>
        <v>1.6675295093187983</v>
      </c>
      <c r="E7">
        <f t="shared" si="5"/>
        <v>-2.1101237217408491</v>
      </c>
      <c r="G7">
        <f t="shared" si="2"/>
        <v>-1.9261570983090734</v>
      </c>
      <c r="Q7" cm="1">
        <f t="array" aca="1" ref="Q7" ca="1">MMULT(D7:E7, $B$5:$B$6) + G7</f>
        <v>0.76151270928871662</v>
      </c>
      <c r="R7">
        <f t="shared" ca="1" si="3"/>
        <v>0.72672827684542929</v>
      </c>
    </row>
    <row r="8" spans="1:26" x14ac:dyDescent="0.25">
      <c r="D8">
        <f t="shared" ref="D8:E8" si="6">D16+D22</f>
        <v>-0.12477440646438345</v>
      </c>
      <c r="E8">
        <f t="shared" si="6"/>
        <v>-0.78454500563609253</v>
      </c>
      <c r="G8">
        <f t="shared" si="2"/>
        <v>0.54763185652660262</v>
      </c>
      <c r="Q8" cm="1">
        <f t="array" aca="1" ref="Q8" ca="1">MMULT(D8:E8, $B$5:$B$6) + G8</f>
        <v>1.1068574481258895</v>
      </c>
      <c r="R8">
        <f t="shared" ca="1" si="3"/>
        <v>1.0061711141775409</v>
      </c>
      <c r="T8">
        <f ca="1">2*(U4-A5)</f>
        <v>0.17026631404372683</v>
      </c>
      <c r="U8" s="5" t="s">
        <v>72</v>
      </c>
    </row>
    <row r="9" spans="1:26" x14ac:dyDescent="0.25">
      <c r="T9">
        <f ca="1">T8*U4*(1-U4)</f>
        <v>1.0238357317039414E-2</v>
      </c>
      <c r="U9" s="5" t="s">
        <v>74</v>
      </c>
      <c r="Y9" s="5" t="s">
        <v>77</v>
      </c>
    </row>
    <row r="10" spans="1:26" x14ac:dyDescent="0.25">
      <c r="T10">
        <f ca="1">R4*$T$9</f>
        <v>-2.9742901580329458E-3</v>
      </c>
      <c r="U10" s="5" t="s">
        <v>75</v>
      </c>
      <c r="Y10" s="7">
        <f ca="1">-T10*$Z$4</f>
        <v>2.9742901580329459E-4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-1.915825486386314E-2</v>
      </c>
      <c r="Y11" s="7">
        <f t="shared" ref="Y11:Y15" ca="1" si="8">-T11*$Z$4</f>
        <v>1.9158254863863142E-3</v>
      </c>
    </row>
    <row r="12" spans="1:26" x14ac:dyDescent="0.25">
      <c r="D12">
        <v>0.33845669686942725</v>
      </c>
      <c r="E12">
        <v>-0.76927957296624605</v>
      </c>
      <c r="G12">
        <v>-1.1135588810381758</v>
      </c>
      <c r="I12">
        <v>-0.51376917652162946</v>
      </c>
      <c r="J12">
        <v>1.3071209155109835</v>
      </c>
      <c r="K12">
        <v>-1.4172151031205773</v>
      </c>
      <c r="L12">
        <v>1.7308675428702851</v>
      </c>
      <c r="M12">
        <v>0.28276036675606547</v>
      </c>
      <c r="O12">
        <v>2.4626774315873434</v>
      </c>
      <c r="T12">
        <f t="shared" ca="1" si="7"/>
        <v>-7.0253073102223744E-3</v>
      </c>
      <c r="Y12" s="7">
        <f t="shared" ca="1" si="8"/>
        <v>7.0253073102223746E-4</v>
      </c>
    </row>
    <row r="13" spans="1:26" x14ac:dyDescent="0.25">
      <c r="D13">
        <v>-2.8764269924522505</v>
      </c>
      <c r="E13">
        <v>1.5431862789531785</v>
      </c>
      <c r="G13">
        <v>-0.45965898798749083</v>
      </c>
      <c r="T13">
        <f t="shared" ca="1" si="7"/>
        <v>7.4405037707398454E-3</v>
      </c>
      <c r="Y13" s="7">
        <f t="shared" ca="1" si="8"/>
        <v>-7.4405037707398456E-4</v>
      </c>
    </row>
    <row r="14" spans="1:26" x14ac:dyDescent="0.25">
      <c r="D14">
        <v>-1.0133307000943705</v>
      </c>
      <c r="E14">
        <v>1.4814601315700637</v>
      </c>
      <c r="G14">
        <v>1.0771595058358807</v>
      </c>
      <c r="T14">
        <f t="shared" ca="1" si="7"/>
        <v>1.0301539389033325E-2</v>
      </c>
      <c r="Y14" s="7">
        <f t="shared" ca="1" si="8"/>
        <v>-1.0301539389033325E-3</v>
      </c>
    </row>
    <row r="15" spans="1:26" x14ac:dyDescent="0.25">
      <c r="D15">
        <v>1.6699807217529841</v>
      </c>
      <c r="E15">
        <v>-2.1029452281824419</v>
      </c>
      <c r="G15">
        <v>-1.9185716377320485</v>
      </c>
      <c r="T15">
        <f ca="1">T9</f>
        <v>1.0238357317039414E-2</v>
      </c>
      <c r="U15" s="5" t="s">
        <v>76</v>
      </c>
      <c r="Y15" s="7">
        <f t="shared" ca="1" si="8"/>
        <v>-1.0238357317039414E-3</v>
      </c>
    </row>
    <row r="16" spans="1:26" x14ac:dyDescent="0.25">
      <c r="D16">
        <v>-0.1249267757156637</v>
      </c>
      <c r="E16">
        <v>-0.78499122632001217</v>
      </c>
      <c r="G16">
        <v>0.54716033845961753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-5.2854455259358441E-3</v>
      </c>
      <c r="U17" s="5" t="s">
        <v>78</v>
      </c>
    </row>
    <row r="18" spans="4:25" x14ac:dyDescent="0.25">
      <c r="D18">
        <v>2.7959981244209787E-4</v>
      </c>
      <c r="E18">
        <v>8.1882150423003756E-4</v>
      </c>
      <c r="G18">
        <v>8.6524257344816179E-4</v>
      </c>
      <c r="I18">
        <v>-2.4704273784438473E-3</v>
      </c>
      <c r="J18">
        <v>1.1756166865480608E-4</v>
      </c>
      <c r="K18">
        <v>2.7896137134424234E-3</v>
      </c>
      <c r="L18">
        <v>-3.2916432219657595E-3</v>
      </c>
      <c r="M18">
        <v>-4.1641244763970868E-4</v>
      </c>
      <c r="O18">
        <v>1.7650261806218493E-3</v>
      </c>
      <c r="T18">
        <f ca="1"/>
        <v>1.338397462794761E-2</v>
      </c>
    </row>
    <row r="19" spans="4:25" x14ac:dyDescent="0.25">
      <c r="D19">
        <v>7.4222515578818791E-4</v>
      </c>
      <c r="E19">
        <v>2.1736420823448037E-3</v>
      </c>
      <c r="G19">
        <v>2.2968713686284336E-3</v>
      </c>
      <c r="T19">
        <f ca="1"/>
        <v>-1.4481393558878593E-2</v>
      </c>
    </row>
    <row r="20" spans="4:25" x14ac:dyDescent="0.25">
      <c r="D20">
        <v>1.2132737934205159E-3</v>
      </c>
      <c r="E20">
        <v>3.5531306830801422E-3</v>
      </c>
      <c r="G20">
        <v>3.7545666792383062E-3</v>
      </c>
      <c r="T20">
        <f ca="1"/>
        <v>1.7687539352905318E-2</v>
      </c>
    </row>
    <row r="21" spans="4:25" x14ac:dyDescent="0.25">
      <c r="D21">
        <v>-2.4512124341858703E-3</v>
      </c>
      <c r="E21">
        <v>-7.178493558407148E-3</v>
      </c>
      <c r="G21">
        <v>-7.5854605770249925E-3</v>
      </c>
      <c r="T21">
        <f ca="1"/>
        <v>2.8907382905155126E-3</v>
      </c>
    </row>
    <row r="22" spans="4:25" x14ac:dyDescent="0.25">
      <c r="D22">
        <v>1.5236925128025232E-4</v>
      </c>
      <c r="E22">
        <v>4.4622068391958578E-4</v>
      </c>
      <c r="G22">
        <v>4.715180669851024E-4</v>
      </c>
      <c r="J22" t="s">
        <v>82</v>
      </c>
      <c r="K22">
        <v>50</v>
      </c>
      <c r="M22" t="s">
        <v>83</v>
      </c>
      <c r="N22" t="s">
        <v>84</v>
      </c>
      <c r="P22" t="s">
        <v>85</v>
      </c>
      <c r="T22">
        <f ca="1">T17*(1-R4^2)</f>
        <v>-4.8393912523660492E-3</v>
      </c>
      <c r="U22" s="5" t="s">
        <v>79</v>
      </c>
    </row>
    <row r="23" spans="4:25" x14ac:dyDescent="0.25">
      <c r="K23">
        <v>25000</v>
      </c>
      <c r="M23" s="3">
        <f ca="1">A5</f>
        <v>0.8506059481898649</v>
      </c>
      <c r="N23" s="1">
        <f ca="1">U4</f>
        <v>0.93573910521172832</v>
      </c>
      <c r="P23" s="1">
        <f ca="1">SQRT( W4)</f>
        <v>8.5133157021863415E-2</v>
      </c>
      <c r="T23">
        <f t="shared" ref="T23:T26" ca="1" si="9">T18*(1-R5^2)</f>
        <v>-3.3479710127988782E-2</v>
      </c>
    </row>
    <row r="24" spans="4:25" x14ac:dyDescent="0.25">
      <c r="T24">
        <f t="shared" ca="1" si="9"/>
        <v>-7.6630254391506503E-3</v>
      </c>
    </row>
    <row r="25" spans="4:25" x14ac:dyDescent="0.25">
      <c r="T25">
        <f t="shared" ca="1" si="9"/>
        <v>8.3461486500619967E-3</v>
      </c>
    </row>
    <row r="26" spans="4:25" x14ac:dyDescent="0.25">
      <c r="T26">
        <f t="shared" ca="1" si="9"/>
        <v>-3.5788239071436256E-5</v>
      </c>
      <c r="Y26" s="5" t="s">
        <v>77</v>
      </c>
    </row>
    <row r="27" spans="4:25" x14ac:dyDescent="0.25">
      <c r="S27" cm="1">
        <f t="array" aca="1" ref="S27:T31" ca="1">MMULT(T22:T26, TRANSPOSE(B5:B6))</f>
        <v>-2.8594082460039628E-3</v>
      </c>
      <c r="T27">
        <f ca="1"/>
        <v>3.9042915075800351E-3</v>
      </c>
      <c r="U27" s="5" t="s">
        <v>80</v>
      </c>
      <c r="X27">
        <f ca="1">-S27*$Z$4</f>
        <v>2.8594082460039631E-4</v>
      </c>
      <c r="Y27">
        <f ca="1">-T27*$Z$4</f>
        <v>-3.9042915075800355E-4</v>
      </c>
    </row>
    <row r="28" spans="4:25" x14ac:dyDescent="0.25">
      <c r="S28">
        <f ca="1"/>
        <v>-1.9781859788044344E-2</v>
      </c>
      <c r="T28">
        <f ca="1"/>
        <v>2.701053523313281E-2</v>
      </c>
      <c r="X28">
        <f t="shared" ref="X28:X31" ca="1" si="10">-S28*$Z$4</f>
        <v>1.9781859788044346E-3</v>
      </c>
      <c r="Y28">
        <f t="shared" ref="Y28:Y36" ca="1" si="11">-T28*$Z$4</f>
        <v>-2.7010535233132813E-3</v>
      </c>
    </row>
    <row r="29" spans="4:25" x14ac:dyDescent="0.25">
      <c r="S29">
        <f ca="1"/>
        <v>-4.527783968558555E-3</v>
      </c>
      <c r="T29">
        <f ca="1"/>
        <v>6.182324094960904E-3</v>
      </c>
      <c r="X29">
        <f t="shared" ca="1" si="10"/>
        <v>4.527783968558555E-4</v>
      </c>
      <c r="Y29">
        <f t="shared" ca="1" si="11"/>
        <v>-6.1823240949609049E-4</v>
      </c>
    </row>
    <row r="30" spans="4:25" x14ac:dyDescent="0.25">
      <c r="S30">
        <f ca="1"/>
        <v>4.93141492965549E-3</v>
      </c>
      <c r="T30">
        <f ca="1"/>
        <v>-6.7334496419370832E-3</v>
      </c>
      <c r="X30">
        <f t="shared" ca="1" si="10"/>
        <v>-4.9314149296554902E-4</v>
      </c>
      <c r="Y30">
        <f t="shared" ca="1" si="11"/>
        <v>6.7334496419370836E-4</v>
      </c>
    </row>
    <row r="31" spans="4:25" x14ac:dyDescent="0.25">
      <c r="S31">
        <f ca="1"/>
        <v>-2.1145879837839902E-5</v>
      </c>
      <c r="T31">
        <f ca="1"/>
        <v>2.8872994678728991E-5</v>
      </c>
      <c r="X31">
        <f t="shared" ca="1" si="10"/>
        <v>2.1145879837839902E-6</v>
      </c>
      <c r="Y31">
        <f t="shared" ca="1" si="11"/>
        <v>-2.8872994678728994E-6</v>
      </c>
    </row>
    <row r="32" spans="4:25" x14ac:dyDescent="0.25">
      <c r="T32">
        <f ca="1">T22</f>
        <v>-4.8393912523660492E-3</v>
      </c>
      <c r="U32" s="5" t="s">
        <v>81</v>
      </c>
      <c r="Y32">
        <f t="shared" ca="1" si="11"/>
        <v>4.8393912523660496E-4</v>
      </c>
    </row>
    <row r="33" spans="20:25" x14ac:dyDescent="0.25">
      <c r="T33">
        <f t="shared" ref="T33:T36" ca="1" si="12">T23</f>
        <v>-3.3479710127988782E-2</v>
      </c>
      <c r="Y33">
        <f t="shared" ca="1" si="11"/>
        <v>3.3479710127988782E-3</v>
      </c>
    </row>
    <row r="34" spans="20:25" x14ac:dyDescent="0.25">
      <c r="T34">
        <f t="shared" ca="1" si="12"/>
        <v>-7.6630254391506503E-3</v>
      </c>
      <c r="Y34">
        <f t="shared" ca="1" si="11"/>
        <v>7.6630254391506507E-4</v>
      </c>
    </row>
    <row r="35" spans="20:25" x14ac:dyDescent="0.25">
      <c r="T35">
        <f t="shared" ca="1" si="12"/>
        <v>8.3461486500619967E-3</v>
      </c>
      <c r="Y35">
        <f t="shared" ca="1" si="11"/>
        <v>-8.3461486500619971E-4</v>
      </c>
    </row>
    <row r="36" spans="20:25" x14ac:dyDescent="0.25">
      <c r="T36">
        <f t="shared" ca="1" si="12"/>
        <v>-3.5788239071436256E-5</v>
      </c>
      <c r="Y36">
        <f t="shared" ca="1" si="11"/>
        <v>3.5788239071436258E-6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30</vt:i4>
      </vt:variant>
    </vt:vector>
  </HeadingPairs>
  <TitlesOfParts>
    <vt:vector size="32" baseType="lpstr">
      <vt:lpstr>Sheet1</vt:lpstr>
      <vt:lpstr>BackProp</vt:lpstr>
      <vt:lpstr>Bias1</vt:lpstr>
      <vt:lpstr>Bias2</vt:lpstr>
      <vt:lpstr>current_epoch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2025-09-25T18:16:09Z</dcterms:modified>
</cp:coreProperties>
</file>