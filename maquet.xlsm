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BABDF72B-1EBF-4CA2-B23F-2BD059D7303B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T26" i="1" l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W4" i="2"/>
  <c r="P23" i="2" s="1"/>
  <c r="N23" i="2"/>
  <c r="T8" i="2"/>
  <c r="T9" i="2" s="1"/>
  <c r="T17" i="2" s="1" a="1"/>
  <c r="T23" i="2" s="1"/>
  <c r="T33" i="2" s="1"/>
  <c r="Y33" i="2" s="1"/>
  <c r="X17" i="1" l="1" a="1"/>
  <c r="X17" i="1" s="1"/>
  <c r="T11" i="2"/>
  <c r="Y11" i="2" s="1"/>
  <c r="T14" i="2"/>
  <c r="Y14" i="2" s="1"/>
  <c r="T13" i="2"/>
  <c r="Y13" i="2" s="1"/>
  <c r="T12" i="2"/>
  <c r="Y12" i="2" s="1"/>
  <c r="T17" i="2"/>
  <c r="T22" i="2" s="1"/>
  <c r="T25" i="2"/>
  <c r="T35" i="2" s="1"/>
  <c r="Y35" i="2" s="1"/>
  <c r="T10" i="2"/>
  <c r="Y10" i="2" s="1"/>
  <c r="T26" i="2"/>
  <c r="T36" i="2" s="1"/>
  <c r="Y36" i="2" s="1"/>
  <c r="T15" i="2"/>
  <c r="Y15" i="2" s="1"/>
  <c r="T24" i="2"/>
  <c r="T34" i="2" s="1"/>
  <c r="Y34" i="2" s="1"/>
  <c r="S27" i="2" l="1" a="1"/>
  <c r="X28" i="2" s="1"/>
  <c r="T32" i="2"/>
  <c r="Y32" i="2" s="1"/>
  <c r="X31" i="2" l="1"/>
  <c r="Y30" i="2"/>
  <c r="Y29" i="2"/>
  <c r="Y31" i="2"/>
  <c r="X29" i="2"/>
  <c r="Y28" i="2"/>
  <c r="Y27" i="2"/>
  <c r="X30" i="2"/>
  <c r="S27" i="2"/>
  <c r="X2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<sst xmlns="http://schemas.openxmlformats.org/spreadsheetml/2006/main" count="96" uniqueCount="88">
  <si>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</si>
  <si>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</si>
  <si>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</si>
  <si>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</si>
  <si>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</si>
  <si>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</si>
  <si>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</si>
  <si>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</si>
  <si>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</si>
  <si>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</si>
  <si>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</si>
  <si>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</si>
  <si>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</si>
  <si>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</si>
  <si>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</si>
  <si>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</si>
  <si>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</si>
  <si>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</si>
  <si>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</si>
  <si>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</si>
  <si>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</si>
  <si>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</si>
  <si>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</si>
  <si>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</si>
  <si>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</si>
  <si>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</si>
  <si>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</si>
  <si>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</si>
  <si>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</si>
  <si>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</si>
  <si>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</si>
  <si>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</si>
  <si>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</si>
  <si>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</si>
  <si>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</si>
  <si>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</si>
  <si>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</si>
  <si>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</si>
  <si>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</si>
  <si>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</si>
  <si>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</si>
  <si>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</si>
  <si>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</si>
  <si>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</si>
  <si>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</si>
  <si>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</si>
  <si>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</si>
  <si>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</si>
  <si>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</si>
  <si>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</si>
  <si>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</si>
  <si>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</si>
  <si>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</si>
  <si>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</si>
  <si>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</si>
  <si>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</si>
  <si>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</si>
  <si>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</si>
  <si>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</si>
  <si>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</si>
  <si>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</si>
  <si>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</si>
  <si>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</si>
  <si>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</si>
  <si>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</si>
  <si>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</si>
  <si>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</si>
  <si>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</si>
  <si>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</si>
  <si>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</si>
  <si>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error = (Pr - Y)^2</t>
  </si>
  <si>
    <t>X-&gt; W1*X + B1 -&gt; H -&gt; tanh(H) -&gt;  A -&gt; W2*A + B2 -&gt; Z -&gt; sigmoid(Z) -&gt; Pr -&gt;  (Pr - Y)^2 -&gt; E</t>
  </si>
  <si>
    <t>dE/dPr = 2(Pr - Y)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</si>
  <si>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</si>
  <si>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</si>
  <si>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</si>
  <si>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</si>
  <si>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</si>
  <si>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</si>
  <si>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>dA/dH = 1 - tanh(H)</t>
  </si>
  <si>
    <t xml:space="preserve">dH/dW1 = 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</si>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</sst>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0.12849776189614437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R16" sqref="R16"/>
    </sheetView>
  </sheetViews>
  <sheetFormatPr defaultRowHeight="15" x14ac:dyDescent="0.25"/>
  <cols>
    <col min="19" max="19" width="12.7109375" bestFit="1" customWidth="1"/>
  </cols>
  <sheetData>
    <row r="1" spans="1:26" x14ac:dyDescent="0.25">
      <c r="A1">
        <f ca="1">RAND() *2 - 1</f>
        <v>-0.38322705078082442</v>
      </c>
      <c r="B1">
        <f ca="1">RAND()</f>
        <v>0.40704909525889932</v>
      </c>
    </row>
    <row r="2" spans="1:26" x14ac:dyDescent="0.25">
      <c r="Q2" t="s">
        <v>87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73</v>
      </c>
      <c r="W3" s="1" t="s">
        <v>70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-2.7879663268487311E-2</v>
      </c>
      <c r="E4">
        <f>E12+E18</f>
        <v>-1.1613009807107975</v>
      </c>
      <c r="G4">
        <f>G12+G18</f>
        <v>-1.4148283635175289</v>
      </c>
      <c r="I4">
        <f>I12+I18</f>
        <v>-0.60226739735731616</v>
      </c>
      <c r="J4">
        <f t="shared" ref="J4:O4" si="0">J12+J18</f>
        <v>1.9711341140157979</v>
      </c>
      <c r="K4">
        <f t="shared" si="0"/>
        <v>-2.1010926967813282</v>
      </c>
      <c r="L4">
        <f t="shared" si="0"/>
        <v>1.8551996411808411</v>
      </c>
      <c r="M4">
        <f t="shared" si="0"/>
        <v>0.98260570683218718</v>
      </c>
      <c r="O4">
        <f t="shared" si="0"/>
        <v>2.7227171133963477</v>
      </c>
      <c r="Q4" cm="1">
        <f t="array" aca="1" ref="Q4" ca="1">MMULT(D4:E4, $B$5:$B$6) + G4</f>
        <v>-2.0318978611247247</v>
      </c>
      <c r="R4">
        <f ca="1">(2/(1+EXP(-Q4)) - 1) * 2</f>
        <v>-1.5364227197952689</v>
      </c>
      <c r="T4" cm="1">
        <f t="array" aca="1" ref="T4" ca="1">MMULT(I4:M4, R4:R8) + O4</f>
        <v>-0.41262084812494892</v>
      </c>
      <c r="U4" s="6">
        <f ca="1">1/(1+EXP(-T4))</f>
        <v>0.39828385774561281</v>
      </c>
      <c r="W4" s="1">
        <f ca="1">(U4-A5)*(U4-A5)</f>
        <v>7.6829388664325E-5</v>
      </c>
      <c r="Z4" s="2">
        <v>0.03</v>
      </c>
    </row>
    <row r="5" spans="1:26" x14ac:dyDescent="0.25">
      <c r="A5" s="4">
        <f ca="1">B1</f>
        <v>0.40704909525889932</v>
      </c>
      <c r="B5">
        <f ca="1">COS(2*PI()*$A$5)</f>
        <v>-0.83424856267089675</v>
      </c>
      <c r="D5">
        <f t="shared" ref="D5:E5" si="1">D13+D19</f>
        <v>-3.0799653374640013</v>
      </c>
      <c r="E5">
        <f t="shared" si="1"/>
        <v>3.2614020156264778</v>
      </c>
      <c r="G5">
        <f t="shared" ref="G5:G8" si="2">G13+G19</f>
        <v>0.70058731341877634</v>
      </c>
      <c r="Q5" cm="1">
        <f t="array" aca="1" ref="Q5" ca="1">MMULT(D5:E5, $B$5:$B$6) + G5</f>
        <v>5.0683437053578952</v>
      </c>
      <c r="R5">
        <f t="shared" ref="R5:R8" ca="1" si="3">(2/(1+EXP(-Q5)) - 1) * 2</f>
        <v>1.9749860713017391</v>
      </c>
    </row>
    <row r="6" spans="1:26" x14ac:dyDescent="0.25">
      <c r="B6">
        <f ca="1">SIN(2*PI()*$A$5)</f>
        <v>0.55138855236715134</v>
      </c>
      <c r="D6">
        <f t="shared" ref="D6:E6" si="4">D14+D20</f>
        <v>-2.3918967198151213</v>
      </c>
      <c r="E6">
        <f t="shared" si="4"/>
        <v>4.6726637288331778</v>
      </c>
      <c r="G6">
        <f t="shared" si="2"/>
        <v>2.2401866399881367</v>
      </c>
      <c r="Q6" cm="1">
        <f t="array" aca="1" ref="Q6" ca="1">MMULT(D6:E6, $B$5:$B$6) + G6</f>
        <v>6.8120763296909557</v>
      </c>
      <c r="R6">
        <f t="shared" ca="1" si="3"/>
        <v>1.9956032153620114</v>
      </c>
      <c r="T6" s="1" t="s">
        <v>71</v>
      </c>
    </row>
    <row r="7" spans="1:26" x14ac:dyDescent="0.25">
      <c r="D7">
        <f t="shared" ref="D7:E7" si="5">D15+D21</f>
        <v>4.3285072046206814</v>
      </c>
      <c r="E7">
        <f t="shared" si="5"/>
        <v>-1.1406669277025365</v>
      </c>
      <c r="G7">
        <f t="shared" si="2"/>
        <v>-4.7714487069974822</v>
      </c>
      <c r="Q7" cm="1">
        <f t="array" aca="1" ref="Q7" ca="1">MMULT(D7:E7, $B$5:$B$6) + G7</f>
        <v>-9.0114503069618941</v>
      </c>
      <c r="R7">
        <f t="shared" ca="1" si="3"/>
        <v>-1.9995120404003708</v>
      </c>
    </row>
    <row r="8" spans="1:26" x14ac:dyDescent="0.25">
      <c r="D8">
        <f t="shared" ref="D8:E8" si="6">D16+D22</f>
        <v>-0.11428847323496152</v>
      </c>
      <c r="E8">
        <f t="shared" si="6"/>
        <v>-1.3702662965079748</v>
      </c>
      <c r="G8">
        <f t="shared" si="2"/>
        <v>0.60808974245098502</v>
      </c>
      <c r="Q8" cm="1">
        <f t="array" aca="1" ref="Q8" ca="1">MMULT(D8:E8, $B$5:$B$6) + G8</f>
        <v>-5.2114412611927063E-2</v>
      </c>
      <c r="R8">
        <f t="shared" ca="1" si="3"/>
        <v>-5.2102620967866331E-2</v>
      </c>
      <c r="T8">
        <f ca="1">2*(U4-A5)</f>
        <v>-1.7530475026573011E-2</v>
      </c>
      <c r="U8" s="5" t="s">
        <v>72</v>
      </c>
    </row>
    <row r="9" spans="1:26" x14ac:dyDescent="0.25">
      <c r="T9">
        <f ca="1">T8*U4*(1-U4)</f>
        <v>-4.2012454188135049E-3</v>
      </c>
      <c r="U9" s="5" t="s">
        <v>74</v>
      </c>
      <c r="Y9" s="5" t="s">
        <v>77</v>
      </c>
    </row>
    <row r="10" spans="1:26" x14ac:dyDescent="0.25">
      <c r="T10">
        <f ca="1">R4*$T$9</f>
        <v>6.4548889129008588E-3</v>
      </c>
      <c r="U10" s="5" t="s">
        <v>75</v>
      </c>
      <c r="Y10" s="7">
        <f ca="1">-T10*$Z$4</f>
        <v>-1.9364666738702575E-4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-8.2974011842769126E-3</v>
      </c>
      <c r="Y11" s="7">
        <f t="shared" ref="Y11:Y15" ca="1" si="8">-T11*$Z$4</f>
        <v>2.4892203552830735E-4</v>
      </c>
    </row>
    <row r="12" spans="1:26" x14ac:dyDescent="0.25">
      <c r="D12">
        <v>-2.7991738849824057E-2</v>
      </c>
      <c r="E12">
        <v>-1.1612846347053936</v>
      </c>
      <c r="G12">
        <v>-1.4147151021921587</v>
      </c>
      <c r="I12">
        <v>-0.60261901835165399</v>
      </c>
      <c r="J12">
        <v>1.9716584768175651</v>
      </c>
      <c r="K12">
        <v>-2.1005579529171734</v>
      </c>
      <c r="L12">
        <v>1.854659588631477</v>
      </c>
      <c r="M12">
        <v>0.98274421780834076</v>
      </c>
      <c r="O12">
        <v>2.7229871927492377</v>
      </c>
      <c r="T12">
        <f t="shared" ca="1" si="7"/>
        <v>-8.3840188663091512E-3</v>
      </c>
      <c r="Y12" s="7">
        <f t="shared" ca="1" si="8"/>
        <v>2.5152056598927452E-4</v>
      </c>
    </row>
    <row r="13" spans="1:26" x14ac:dyDescent="0.25">
      <c r="D13">
        <v>-3.0785052420931116</v>
      </c>
      <c r="E13">
        <v>3.261189063558434</v>
      </c>
      <c r="G13">
        <v>0.69911177044231732</v>
      </c>
      <c r="T13">
        <f t="shared" ca="1" si="7"/>
        <v>8.4004407995945021E-3</v>
      </c>
      <c r="Y13" s="7">
        <f t="shared" ca="1" si="8"/>
        <v>-2.5201322398783505E-4</v>
      </c>
    </row>
    <row r="14" spans="1:26" x14ac:dyDescent="0.25">
      <c r="D14">
        <v>-2.3935352273233228</v>
      </c>
      <c r="E14">
        <v>4.6729027019642029</v>
      </c>
      <c r="G14">
        <v>2.2418424826774599</v>
      </c>
      <c r="T14">
        <f t="shared" ca="1" si="7"/>
        <v>2.1889589764942488E-4</v>
      </c>
      <c r="Y14" s="7">
        <f t="shared" ca="1" si="8"/>
        <v>-6.5668769294827463E-6</v>
      </c>
    </row>
    <row r="15" spans="1:26" x14ac:dyDescent="0.25">
      <c r="D15">
        <v>4.329992550519651</v>
      </c>
      <c r="E15">
        <v>-1.1408835625109555</v>
      </c>
      <c r="G15">
        <v>-4.7729497676490897</v>
      </c>
      <c r="T15">
        <f ca="1">T9</f>
        <v>-4.2012454188135049E-3</v>
      </c>
      <c r="U15" s="5" t="s">
        <v>76</v>
      </c>
      <c r="Y15" s="7">
        <f t="shared" ca="1" si="8"/>
        <v>1.2603736256440513E-4</v>
      </c>
    </row>
    <row r="16" spans="1:26" x14ac:dyDescent="0.25">
      <c r="D16">
        <v>-0.11448203838091303</v>
      </c>
      <c r="E16">
        <v>-1.3702380654081758</v>
      </c>
      <c r="G16">
        <v>0.6082853554892087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2.5302731440481571E-3</v>
      </c>
      <c r="U17" s="5" t="s">
        <v>78</v>
      </c>
    </row>
    <row r="18" spans="4:25" x14ac:dyDescent="0.25">
      <c r="D18">
        <v>1.1207558133674602E-4</v>
      </c>
      <c r="E18">
        <v>-1.634600540398144E-5</v>
      </c>
      <c r="G18">
        <v>-1.1326132537029825E-4</v>
      </c>
      <c r="I18">
        <v>3.5162099433777929E-4</v>
      </c>
      <c r="J18">
        <v>-5.243628017673294E-4</v>
      </c>
      <c r="K18">
        <v>-5.3474386415476441E-4</v>
      </c>
      <c r="L18">
        <v>5.4005254936407784E-4</v>
      </c>
      <c r="M18">
        <v>-1.3851097615361524E-4</v>
      </c>
      <c r="O18">
        <v>-2.7007935289022063E-4</v>
      </c>
      <c r="T18">
        <f ca="1"/>
        <v>-8.2812181663758869E-3</v>
      </c>
    </row>
    <row r="19" spans="4:25" x14ac:dyDescent="0.25">
      <c r="D19">
        <v>-1.4600953708896508E-3</v>
      </c>
      <c r="E19">
        <v>2.1295206804397248E-4</v>
      </c>
      <c r="G19">
        <v>1.4755429764590361E-3</v>
      </c>
      <c r="T19">
        <f ca="1"/>
        <v>8.8272060668550673E-3</v>
      </c>
    </row>
    <row r="20" spans="4:25" x14ac:dyDescent="0.25">
      <c r="D20">
        <v>1.6385075082013822E-3</v>
      </c>
      <c r="E20">
        <v>-2.3897313102530962E-4</v>
      </c>
      <c r="G20">
        <v>-1.655842689322975E-3</v>
      </c>
      <c r="T20">
        <f ca="1"/>
        <v>-7.7941489934954672E-3</v>
      </c>
    </row>
    <row r="21" spans="4:25" x14ac:dyDescent="0.25">
      <c r="D21">
        <v>-1.485345898969383E-3</v>
      </c>
      <c r="E21">
        <v>2.1663480841901047E-4</v>
      </c>
      <c r="G21">
        <v>1.5010606516073579E-3</v>
      </c>
      <c r="T21">
        <f ca="1"/>
        <v>-4.1281677243287318E-3</v>
      </c>
    </row>
    <row r="22" spans="4:25" x14ac:dyDescent="0.25">
      <c r="D22">
        <v>1.9356514595151035E-4</v>
      </c>
      <c r="E22">
        <v>-2.8231099798975241E-5</v>
      </c>
      <c r="G22">
        <v>-1.9561303822365525E-4</v>
      </c>
      <c r="J22" t="s">
        <v>82</v>
      </c>
      <c r="K22">
        <v>8000</v>
      </c>
      <c r="M22" t="s">
        <v>83</v>
      </c>
      <c r="N22" t="s">
        <v>84</v>
      </c>
      <c r="P22" t="s">
        <v>85</v>
      </c>
      <c r="T22">
        <f ca="1">T17*(1-R4^2)</f>
        <v>-3.442676416339266E-3</v>
      </c>
      <c r="U22" s="5" t="s">
        <v>79</v>
      </c>
    </row>
    <row r="23" spans="4:25" x14ac:dyDescent="0.25">
      <c r="K23">
        <v>70000</v>
      </c>
      <c r="M23" s="3">
        <f ca="1">A5</f>
        <v>0.40704909525889932</v>
      </c>
      <c r="N23" s="1">
        <f ca="1">U4</f>
        <v>0.39828385774561281</v>
      </c>
      <c r="P23" s="1">
        <f ca="1">SQRT( W4)</f>
        <v>8.7652375132865057E-3</v>
      </c>
      <c r="T23">
        <f t="shared" ref="T23:T26" ca="1" si="9">T18*(1-R5^2)</f>
        <v>2.4020252826423848E-2</v>
      </c>
    </row>
    <row r="24" spans="4:25" x14ac:dyDescent="0.25">
      <c r="T24">
        <f t="shared" ca="1" si="9"/>
        <v>-2.6326543549474047E-2</v>
      </c>
    </row>
    <row r="25" spans="4:25" x14ac:dyDescent="0.25">
      <c r="T25">
        <f t="shared" ca="1" si="9"/>
        <v>2.3367235917019637E-2</v>
      </c>
    </row>
    <row r="26" spans="4:25" x14ac:dyDescent="0.25">
      <c r="T26">
        <f t="shared" ca="1" si="9"/>
        <v>-4.1169610571251437E-3</v>
      </c>
      <c r="Y26" s="5" t="s">
        <v>77</v>
      </c>
    </row>
    <row r="27" spans="4:25" x14ac:dyDescent="0.25">
      <c r="G27" t="s">
        <v>86</v>
      </c>
      <c r="S27" cm="1">
        <f t="array" aca="1" ref="S27:T31" ca="1">MMULT(T22:T26, TRANSPOSE(B5:B6))</f>
        <v>2.8720478520720262E-3</v>
      </c>
      <c r="T27">
        <f ca="1"/>
        <v>-1.8982523654738402E-3</v>
      </c>
      <c r="U27" s="5" t="s">
        <v>80</v>
      </c>
      <c r="X27">
        <f ca="1">-S27*$Z$4</f>
        <v>-8.6161435562160779E-5</v>
      </c>
      <c r="Y27">
        <f ca="1">-T27*$Z$4</f>
        <v>5.6947570964215207E-5</v>
      </c>
    </row>
    <row r="28" spans="4:25" x14ac:dyDescent="0.25">
      <c r="S28">
        <f ca="1"/>
        <v>-2.0038861395435641E-2</v>
      </c>
      <c r="T28">
        <f ca="1"/>
        <v>1.3244492433454821E-2</v>
      </c>
      <c r="X28">
        <f t="shared" ref="X28:X31" ca="1" si="10">-S28*$Z$4</f>
        <v>6.0116584186306924E-4</v>
      </c>
      <c r="Y28">
        <f t="shared" ref="Y28:Y36" ca="1" si="11">-T28*$Z$4</f>
        <v>-3.973347730036446E-4</v>
      </c>
    </row>
    <row r="29" spans="4:25" x14ac:dyDescent="0.25">
      <c r="S29">
        <f ca="1"/>
        <v>2.1962881116241492E-2</v>
      </c>
      <c r="T29">
        <f ca="1"/>
        <v>-1.4516154736575261E-2</v>
      </c>
      <c r="X29">
        <f t="shared" ca="1" si="10"/>
        <v>-6.5888643348724471E-4</v>
      </c>
      <c r="Y29">
        <f t="shared" ca="1" si="11"/>
        <v>4.3548464209725783E-4</v>
      </c>
    </row>
    <row r="30" spans="4:25" x14ac:dyDescent="0.25">
      <c r="S30">
        <f ca="1"/>
        <v>-1.9494082977365386E-2</v>
      </c>
      <c r="T30">
        <f ca="1"/>
        <v>1.2884426385107162E-2</v>
      </c>
      <c r="X30">
        <f t="shared" ca="1" si="10"/>
        <v>5.848224893209616E-4</v>
      </c>
      <c r="Y30">
        <f t="shared" ca="1" si="11"/>
        <v>-3.8653279155321488E-4</v>
      </c>
    </row>
    <row r="31" spans="4:25" x14ac:dyDescent="0.25">
      <c r="S31">
        <f ca="1"/>
        <v>3.4345688444787068E-3</v>
      </c>
      <c r="T31">
        <f ca="1"/>
        <v>-2.2700451974401702E-3</v>
      </c>
      <c r="X31">
        <f t="shared" ca="1" si="10"/>
        <v>-1.0303706533436119E-4</v>
      </c>
      <c r="Y31">
        <f t="shared" ca="1" si="11"/>
        <v>6.8101355923205097E-5</v>
      </c>
    </row>
    <row r="32" spans="4:25" x14ac:dyDescent="0.25">
      <c r="T32">
        <f ca="1">T22</f>
        <v>-3.442676416339266E-3</v>
      </c>
      <c r="U32" s="5" t="s">
        <v>81</v>
      </c>
      <c r="Y32">
        <f t="shared" ca="1" si="11"/>
        <v>1.0328029249017798E-4</v>
      </c>
    </row>
    <row r="33" spans="20:25" x14ac:dyDescent="0.25">
      <c r="T33">
        <f t="shared" ref="T33:T36" ca="1" si="12">T23</f>
        <v>2.4020252826423848E-2</v>
      </c>
      <c r="Y33">
        <f t="shared" ca="1" si="11"/>
        <v>-7.206075847927154E-4</v>
      </c>
    </row>
    <row r="34" spans="20:25" x14ac:dyDescent="0.25">
      <c r="T34">
        <f t="shared" ca="1" si="12"/>
        <v>-2.6326543549474047E-2</v>
      </c>
      <c r="Y34">
        <f t="shared" ca="1" si="11"/>
        <v>7.8979630648422141E-4</v>
      </c>
    </row>
    <row r="35" spans="20:25" x14ac:dyDescent="0.25">
      <c r="T35">
        <f t="shared" ca="1" si="12"/>
        <v>2.3367235917019637E-2</v>
      </c>
      <c r="Y35">
        <f t="shared" ca="1" si="11"/>
        <v>-7.0101707751058905E-4</v>
      </c>
    </row>
    <row r="36" spans="20:25" x14ac:dyDescent="0.25">
      <c r="T36">
        <f t="shared" ca="1" si="12"/>
        <v>-4.1169610571251437E-3</v>
      </c>
      <c r="Y36">
        <f t="shared" ca="1" si="11"/>
        <v>1.235088317137543E-4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Sheet1</vt:lpstr>
      <vt:lpstr>BackProp</vt:lpstr>
      <vt:lpstr>Bias1</vt:lpstr>
      <vt:lpstr>Bias2</vt:lpstr>
      <vt:lpstr>current_epoch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SAG_B1</vt:lpstr>
      <vt:lpstr>SAG_B2</vt:lpstr>
      <vt:lpstr>SAG_W1</vt:lpstr>
      <vt:lpstr>SAG_w2</vt:lpstr>
      <vt:lpstr>Wghts1</vt:lpstr>
      <vt:lpstr>Wghts2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2025-09-26T18:57:18Z</dcterms:modified>
</cp:coreProperties>
</file>