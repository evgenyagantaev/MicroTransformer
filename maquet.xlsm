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\MicroTransformer\"/>
    </mc:Choice>
  </mc:AlternateContent>
  <xr:revisionPtr revIDLastSave="0" documentId="13_ncr:1_{4C43C7AB-6E86-40B6-A3AB-401F897BDAAA}" xr6:coauthVersionLast="47" xr6:coauthVersionMax="47" xr10:uidLastSave="{00000000-0000-0000-0000-000000000000}"/>
  <bookViews>
    <workbookView xWindow="28680" yWindow="-120" windowWidth="29040" windowHeight="15720" activeTab="1" xr2:uid="{FD8A72F7-38AD-45D2-9D95-712C37856DF7}"/>
  </bookViews>
  <sheets>
    <sheet name="transformer" sheetId="1" r:id="rId1"/>
    <sheet name="BackProp" sheetId="2" r:id="rId2"/>
  </sheets>
  <definedNames>
    <definedName name="Add_and_Norm1">transformer!$AA$35:$AB$41</definedName>
    <definedName name="Add_and_Norm2">transformer!$V$49:$W$55</definedName>
    <definedName name="Add1_">transformer!$X$26:$Y$32</definedName>
    <definedName name="ATTENTION">transformer!$P$25:$V$31</definedName>
    <definedName name="ATTENTION_V">transformer!$X$17:$Y$23</definedName>
    <definedName name="Bias1">BackProp!$G$18:$G$22</definedName>
    <definedName name="Bias2">BackProp!$O$18</definedName>
    <definedName name="current_epoch">BackProp!$K$23</definedName>
    <definedName name="d_deltaX_d_omega_pr">BackProp!$X$7</definedName>
    <definedName name="d_deltaY_d_omega_pr">BackProp!$W$7</definedName>
    <definedName name="dE_d_deltaX">BackProp!$U$7</definedName>
    <definedName name="dE_d_deltaY">BackProp!$T$7</definedName>
    <definedName name="dE_d_omega_out">BackProp!$T$8</definedName>
    <definedName name="de_dpr">BackProp!$U$8</definedName>
    <definedName name="de_dz2">BackProp!$W$8</definedName>
    <definedName name="delta_B1">BackProp!$G$18:$G$22</definedName>
    <definedName name="delta_B2">BackProp!$O$18</definedName>
    <definedName name="delta_W1">BackProp!$D$18:$E$22</definedName>
    <definedName name="delta_W2">BackProp!$I$18:$M$18</definedName>
    <definedName name="embeddings">transformer!$J$13:$K$19</definedName>
    <definedName name="grad_b1">BackProp!$G$26:$G$30</definedName>
    <definedName name="grad_B2">BackProp!$O$26</definedName>
    <definedName name="grad_W1">BackProp!$D$26:$E$30</definedName>
    <definedName name="grad_W2">BackProp!$I$26:$M$26</definedName>
    <definedName name="K_T">transformer!$W$13:$AC$14</definedName>
    <definedName name="Key">transformer!$W$2:$X$3</definedName>
    <definedName name="learning_rate">BackProp!$K$21</definedName>
    <definedName name="new_b1">BackProp!$G$4:$G$8</definedName>
    <definedName name="new_b2">BackProp!$O$4</definedName>
    <definedName name="new_w1">BackProp!$D$4:$E$8</definedName>
    <definedName name="new_w2">BackProp!$I$4:$M$4</definedName>
    <definedName name="num_iterations">BackProp!$K$22</definedName>
    <definedName name="old_b1">BackProp!$G$12:$G$16</definedName>
    <definedName name="old_b2">BackProp!$O$12</definedName>
    <definedName name="old_w1">BackProp!$D$12:$E$16</definedName>
    <definedName name="old_w2">BackProp!$I$12:$M$12</definedName>
    <definedName name="omega_in">BackProp!$A$5</definedName>
    <definedName name="omega_out">BackProp!$U$4</definedName>
    <definedName name="Out_Weights">transformer!$G$58:$AN$59</definedName>
    <definedName name="Q_K_T">transformer!$P$16:$V$22</definedName>
    <definedName name="Query">transformer!$T$2:$U$3</definedName>
    <definedName name="ReLu_out">transformer!$N$39:$S$45</definedName>
    <definedName name="SAG_B1">BackProp!$Y$32:$Y$36</definedName>
    <definedName name="SAG_B2">BackProp!$Y$15</definedName>
    <definedName name="SAG_W1">BackProp!$X$27:$Y$31</definedName>
    <definedName name="SAG_w2">BackProp!$Y$10:$Y$14</definedName>
    <definedName name="Value">transformer!$Z$2:$AA$3</definedName>
    <definedName name="Weights1">transformer!$G$35:$L$36</definedName>
    <definedName name="Weights2">transformer!$G$49:$H$54</definedName>
    <definedName name="Wghts1">BackProp!$D$18:$E$22</definedName>
    <definedName name="Wghts2">BackProp!$I$18:$M$18</definedName>
    <definedName name="X_in">transformer!$M$13:$N$19</definedName>
    <definedName name="X_K">transformer!$W$5:$X$11</definedName>
    <definedName name="X_Q">transformer!$T$5:$U$11</definedName>
    <definedName name="X_V">transformer!$Z$5:$AA$11</definedName>
    <definedName name="Z_out">BackProp!$T$4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8" i="1" l="1"/>
  <c r="E79" i="1"/>
  <c r="E80" i="1"/>
  <c r="E81" i="1"/>
  <c r="E82" i="1"/>
  <c r="E83" i="1"/>
  <c r="E77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G77" i="1"/>
  <c r="E70" i="1"/>
  <c r="E71" i="1"/>
  <c r="E72" i="1"/>
  <c r="E73" i="1"/>
  <c r="E74" i="1"/>
  <c r="E75" i="1"/>
  <c r="E69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G69" i="1"/>
  <c r="G61" i="1" a="1"/>
  <c r="G61" i="1" s="1"/>
  <c r="B1" i="2"/>
  <c r="A5" i="2" s="1"/>
  <c r="A2" i="2"/>
  <c r="C1" i="2" s="1"/>
  <c r="D1" i="2" s="1"/>
  <c r="O4" i="2"/>
  <c r="J4" i="2"/>
  <c r="K4" i="2"/>
  <c r="L4" i="2"/>
  <c r="M4" i="2"/>
  <c r="I4" i="2"/>
  <c r="G5" i="2"/>
  <c r="G6" i="2"/>
  <c r="G7" i="2"/>
  <c r="G8" i="2"/>
  <c r="G4" i="2"/>
  <c r="D5" i="2"/>
  <c r="E5" i="2"/>
  <c r="D6" i="2"/>
  <c r="E6" i="2"/>
  <c r="D7" i="2"/>
  <c r="E7" i="2"/>
  <c r="D8" i="2"/>
  <c r="E8" i="2"/>
  <c r="E4" i="2"/>
  <c r="D4" i="2"/>
  <c r="A1" i="2"/>
  <c r="M14" i="1" a="1"/>
  <c r="M14" i="1" s="1"/>
  <c r="M15" i="1" a="1"/>
  <c r="M15" i="1" s="1"/>
  <c r="M16" i="1" a="1"/>
  <c r="M16" i="1" s="1"/>
  <c r="M17" i="1" a="1"/>
  <c r="M17" i="1" s="1"/>
  <c r="M18" i="1" a="1"/>
  <c r="M18" i="1" s="1"/>
  <c r="J19" i="1" a="1"/>
  <c r="J19" i="1" s="1"/>
  <c r="M19" i="1" s="1" a="1"/>
  <c r="M19" i="1" s="1"/>
  <c r="J18" i="1" a="1"/>
  <c r="J18" i="1" s="1"/>
  <c r="J13" i="1" a="1"/>
  <c r="J13" i="1" s="1"/>
  <c r="M13" i="1" s="1" a="1"/>
  <c r="M13" i="1" s="1"/>
  <c r="N2" i="1" a="1"/>
  <c r="N2" i="1" s="1"/>
  <c r="O2" i="1" s="1" a="1"/>
  <c r="O2" i="1" s="1"/>
  <c r="P2" i="1" s="1" a="1"/>
  <c r="P2" i="1" s="1"/>
  <c r="Q2" i="1" s="1" a="1"/>
  <c r="Q2" i="1" s="1"/>
  <c r="R2" i="1" s="1" a="1"/>
  <c r="R2" i="1" s="1"/>
  <c r="M2" i="1" a="1"/>
  <c r="M2" i="1" s="1"/>
  <c r="J3" i="1"/>
  <c r="I3" i="1"/>
  <c r="J2" i="1"/>
  <c r="I2" i="1"/>
  <c r="C36" i="1"/>
  <c r="Z5" i="1" l="1" a="1"/>
  <c r="Z5" i="1" s="1"/>
  <c r="W5" i="1" a="1"/>
  <c r="W5" i="1" s="1"/>
  <c r="W13" i="1" s="1" a="1"/>
  <c r="W13" i="1" s="1"/>
  <c r="T5" i="1" a="1"/>
  <c r="T5" i="1" s="1"/>
  <c r="M23" i="2"/>
  <c r="P16" i="1" l="1" a="1"/>
  <c r="P16" i="1" s="1"/>
  <c r="B6" i="2"/>
  <c r="B5" i="2"/>
  <c r="G22" i="1" l="1"/>
  <c r="Q6" i="2" a="1"/>
  <c r="Q6" i="2" s="1"/>
  <c r="R6" i="2" s="1"/>
  <c r="Q7" i="2" a="1"/>
  <c r="Q7" i="2" s="1"/>
  <c r="R7" i="2" s="1"/>
  <c r="Q5" i="2" a="1"/>
  <c r="Q5" i="2" s="1"/>
  <c r="R5" i="2" s="1"/>
  <c r="Q8" i="2" a="1"/>
  <c r="Q8" i="2" s="1"/>
  <c r="R8" i="2" s="1"/>
  <c r="Q4" i="2" a="1"/>
  <c r="Q4" i="2" s="1"/>
  <c r="R4" i="2" s="1"/>
  <c r="J26" i="1" l="1"/>
  <c r="I28" i="1"/>
  <c r="H23" i="1"/>
  <c r="L27" i="1"/>
  <c r="K24" i="1"/>
  <c r="L23" i="1"/>
  <c r="J28" i="1"/>
  <c r="M23" i="1"/>
  <c r="L22" i="1"/>
  <c r="M22" i="1"/>
  <c r="G28" i="1"/>
  <c r="K26" i="1"/>
  <c r="G26" i="1"/>
  <c r="K28" i="1"/>
  <c r="I27" i="1"/>
  <c r="J23" i="1"/>
  <c r="H24" i="1"/>
  <c r="H25" i="1"/>
  <c r="L26" i="1"/>
  <c r="G24" i="1"/>
  <c r="M24" i="1"/>
  <c r="K23" i="1"/>
  <c r="K25" i="1"/>
  <c r="M26" i="1"/>
  <c r="I22" i="1"/>
  <c r="J24" i="1"/>
  <c r="J27" i="1"/>
  <c r="H26" i="1"/>
  <c r="G27" i="1"/>
  <c r="H27" i="1"/>
  <c r="K22" i="1"/>
  <c r="M27" i="1"/>
  <c r="L28" i="1"/>
  <c r="M28" i="1"/>
  <c r="M25" i="1"/>
  <c r="G23" i="1"/>
  <c r="J25" i="1"/>
  <c r="J22" i="1"/>
  <c r="K27" i="1"/>
  <c r="H22" i="1"/>
  <c r="L24" i="1"/>
  <c r="I24" i="1"/>
  <c r="I23" i="1"/>
  <c r="I25" i="1"/>
  <c r="G25" i="1"/>
  <c r="H28" i="1"/>
  <c r="I26" i="1"/>
  <c r="L25" i="1"/>
  <c r="T4" i="2" a="1"/>
  <c r="T4" i="2" s="1"/>
  <c r="U4" i="2" s="1"/>
  <c r="T8" i="2" s="1"/>
  <c r="N22" i="1" l="1"/>
  <c r="Q25" i="1" s="1"/>
  <c r="N27" i="1"/>
  <c r="V30" i="1" s="1"/>
  <c r="N23" i="1"/>
  <c r="Q26" i="1" s="1"/>
  <c r="N25" i="1"/>
  <c r="S28" i="1" s="1"/>
  <c r="N26" i="1"/>
  <c r="V29" i="1" s="1"/>
  <c r="N24" i="1"/>
  <c r="T27" i="1" s="1"/>
  <c r="N28" i="1"/>
  <c r="S31" i="1" s="1"/>
  <c r="S30" i="1"/>
  <c r="P25" i="1"/>
  <c r="V26" i="1"/>
  <c r="T9" i="2"/>
  <c r="T26" i="1"/>
  <c r="P29" i="1"/>
  <c r="V27" i="1"/>
  <c r="S27" i="1"/>
  <c r="U26" i="1"/>
  <c r="U30" i="1"/>
  <c r="P30" i="1"/>
  <c r="Q29" i="1"/>
  <c r="S26" i="1"/>
  <c r="T25" i="1"/>
  <c r="T30" i="1"/>
  <c r="P26" i="1"/>
  <c r="R25" i="1"/>
  <c r="R30" i="1"/>
  <c r="S25" i="1"/>
  <c r="U25" i="1"/>
  <c r="V25" i="1"/>
  <c r="R26" i="1"/>
  <c r="U29" i="1" l="1"/>
  <c r="Q30" i="1"/>
  <c r="U28" i="1"/>
  <c r="U27" i="1"/>
  <c r="P27" i="1"/>
  <c r="T31" i="1"/>
  <c r="T29" i="1"/>
  <c r="R27" i="1"/>
  <c r="Q27" i="1"/>
  <c r="S29" i="1"/>
  <c r="P31" i="1"/>
  <c r="V31" i="1"/>
  <c r="R29" i="1"/>
  <c r="V28" i="1"/>
  <c r="R28" i="1"/>
  <c r="Q28" i="1"/>
  <c r="U31" i="1"/>
  <c r="T28" i="1"/>
  <c r="R31" i="1"/>
  <c r="P28" i="1"/>
  <c r="Q31" i="1"/>
  <c r="N23" i="2"/>
  <c r="W4" i="2"/>
  <c r="P23" i="2" s="1"/>
  <c r="X17" i="1" l="1" a="1"/>
  <c r="X17" i="1" s="1"/>
  <c r="X26" i="1" s="1" a="1"/>
  <c r="X26" i="1" s="1"/>
  <c r="T17" i="2" a="1"/>
  <c r="T15" i="2"/>
  <c r="Y15" i="2" s="1"/>
  <c r="T10" i="2"/>
  <c r="Y10" i="2" s="1"/>
  <c r="T12" i="2"/>
  <c r="Y12" i="2" s="1"/>
  <c r="T13" i="2"/>
  <c r="Y13" i="2" s="1"/>
  <c r="T14" i="2"/>
  <c r="Y14" i="2" s="1"/>
  <c r="T11" i="2"/>
  <c r="Y11" i="2" s="1"/>
  <c r="AB29" i="1" l="1"/>
  <c r="AA29" i="1"/>
  <c r="AB27" i="1"/>
  <c r="AA27" i="1"/>
  <c r="AB32" i="1"/>
  <c r="AA31" i="1"/>
  <c r="AA32" i="1"/>
  <c r="AB31" i="1"/>
  <c r="AB30" i="1"/>
  <c r="AA30" i="1"/>
  <c r="AB28" i="1"/>
  <c r="AA28" i="1"/>
  <c r="X37" i="1" s="1"/>
  <c r="AA37" i="1" s="1"/>
  <c r="Y38" i="1"/>
  <c r="AB38" i="1" s="1"/>
  <c r="AA26" i="1"/>
  <c r="AB26" i="1"/>
  <c r="T23" i="2"/>
  <c r="T33" i="2" s="1"/>
  <c r="Y33" i="2" s="1"/>
  <c r="T25" i="2"/>
  <c r="T35" i="2" s="1"/>
  <c r="Y35" i="2" s="1"/>
  <c r="T17" i="2"/>
  <c r="T22" i="2" s="1"/>
  <c r="T32" i="2" s="1"/>
  <c r="Y32" i="2" s="1"/>
  <c r="T24" i="2"/>
  <c r="T34" i="2" s="1"/>
  <c r="Y34" i="2" s="1"/>
  <c r="T26" i="2"/>
  <c r="T36" i="2" s="1"/>
  <c r="Y36" i="2" s="1"/>
  <c r="X36" i="1" l="1"/>
  <c r="AA36" i="1" s="1"/>
  <c r="X40" i="1"/>
  <c r="AA40" i="1" s="1"/>
  <c r="Y36" i="1"/>
  <c r="AB36" i="1" s="1"/>
  <c r="X35" i="1"/>
  <c r="AA35" i="1" s="1"/>
  <c r="X39" i="1"/>
  <c r="AA39" i="1" s="1"/>
  <c r="X38" i="1"/>
  <c r="AA38" i="1" s="1"/>
  <c r="Y37" i="1"/>
  <c r="AB37" i="1" s="1"/>
  <c r="X41" i="1"/>
  <c r="AA41" i="1" s="1"/>
  <c r="Y41" i="1"/>
  <c r="AB41" i="1" s="1"/>
  <c r="Y39" i="1"/>
  <c r="AB39" i="1" s="1"/>
  <c r="Y40" i="1"/>
  <c r="AB40" i="1" s="1"/>
  <c r="Y35" i="1"/>
  <c r="AB35" i="1" s="1"/>
  <c r="S27" i="2" a="1"/>
  <c r="X28" i="2" s="1"/>
  <c r="G39" i="1" l="1" a="1"/>
  <c r="G39" i="1" s="1"/>
  <c r="N39" i="1" s="1"/>
  <c r="S27" i="2"/>
  <c r="X27" i="2" s="1"/>
  <c r="Y27" i="2"/>
  <c r="X30" i="2"/>
  <c r="Y30" i="2"/>
  <c r="Y29" i="2"/>
  <c r="Y31" i="2"/>
  <c r="X29" i="2"/>
  <c r="X31" i="2"/>
  <c r="Y28" i="2"/>
  <c r="Q40" i="1" l="1"/>
  <c r="N41" i="1"/>
  <c r="R42" i="1"/>
  <c r="P41" i="1"/>
  <c r="R45" i="1"/>
  <c r="O42" i="1"/>
  <c r="P44" i="1"/>
  <c r="R44" i="1"/>
  <c r="N40" i="1"/>
  <c r="N43" i="1"/>
  <c r="S41" i="1"/>
  <c r="Q39" i="1"/>
  <c r="R41" i="1"/>
  <c r="Q45" i="1"/>
  <c r="O39" i="1"/>
  <c r="P40" i="1"/>
  <c r="O44" i="1"/>
  <c r="N42" i="1"/>
  <c r="O40" i="1"/>
  <c r="S42" i="1"/>
  <c r="R39" i="1"/>
  <c r="N45" i="1"/>
  <c r="Q41" i="1"/>
  <c r="O45" i="1"/>
  <c r="S43" i="1"/>
  <c r="P39" i="1"/>
  <c r="R43" i="1"/>
  <c r="P43" i="1"/>
  <c r="S39" i="1"/>
  <c r="P42" i="1"/>
  <c r="Q42" i="1"/>
  <c r="S40" i="1"/>
  <c r="S44" i="1"/>
  <c r="S45" i="1"/>
  <c r="P45" i="1"/>
  <c r="O41" i="1"/>
  <c r="R40" i="1"/>
  <c r="Q44" i="1"/>
  <c r="O43" i="1"/>
  <c r="N44" i="1"/>
  <c r="Q43" i="1"/>
  <c r="J49" i="1" l="1" a="1"/>
  <c r="J49" i="1" s="1"/>
  <c r="M49" i="1" s="1"/>
  <c r="M52" i="1" l="1"/>
  <c r="M51" i="1"/>
  <c r="N55" i="1"/>
  <c r="N54" i="1"/>
  <c r="N49" i="1"/>
  <c r="P49" i="1" s="1"/>
  <c r="N53" i="1"/>
  <c r="M55" i="1"/>
  <c r="Q55" i="1" s="1"/>
  <c r="N51" i="1"/>
  <c r="P51" i="1" s="1"/>
  <c r="M54" i="1"/>
  <c r="N50" i="1"/>
  <c r="M50" i="1"/>
  <c r="Q50" i="1" s="1"/>
  <c r="M53" i="1"/>
  <c r="N52" i="1"/>
  <c r="P50" i="1"/>
  <c r="P55" i="1" l="1"/>
  <c r="P52" i="1"/>
  <c r="T50" i="1"/>
  <c r="W50" i="1" s="1"/>
  <c r="Q52" i="1"/>
  <c r="T52" i="1" s="1"/>
  <c r="W52" i="1" s="1"/>
  <c r="P53" i="1"/>
  <c r="Q54" i="1"/>
  <c r="Q51" i="1"/>
  <c r="T51" i="1" s="1"/>
  <c r="W51" i="1" s="1"/>
  <c r="Q49" i="1"/>
  <c r="T49" i="1" s="1"/>
  <c r="W49" i="1" s="1"/>
  <c r="P54" i="1"/>
  <c r="Q53" i="1"/>
  <c r="S50" i="1"/>
  <c r="V50" i="1" s="1"/>
  <c r="T55" i="1"/>
  <c r="W55" i="1" s="1"/>
  <c r="S52" i="1"/>
  <c r="V52" i="1" s="1"/>
  <c r="S55" i="1"/>
  <c r="V55" i="1" s="1"/>
  <c r="S54" i="1"/>
  <c r="V54" i="1" s="1"/>
  <c r="S53" i="1" l="1"/>
  <c r="V53" i="1" s="1"/>
  <c r="T54" i="1"/>
  <c r="W54" i="1" s="1"/>
  <c r="S49" i="1"/>
  <c r="V49" i="1" s="1"/>
  <c r="T53" i="1"/>
  <c r="W53" i="1" s="1"/>
  <c r="S51" i="1"/>
  <c r="V5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<sst xmlns="http://schemas.openxmlformats.org/spreadsheetml/2006/main" count="116" uniqueCount="104">
  <si>
    <t>моя</t>
  </si>
  <si>
    <t>твоя</t>
  </si>
  <si>
    <t>понимай</t>
  </si>
  <si>
    <t>есть</t>
  </si>
  <si>
    <t>нету</t>
  </si>
  <si>
    <t>люди</t>
  </si>
  <si>
    <t>зверь</t>
  </si>
  <si>
    <t>тайга</t>
  </si>
  <si>
    <t>худой</t>
  </si>
  <si>
    <t>добрый</t>
  </si>
  <si>
    <t>ходи</t>
  </si>
  <si>
    <t>живи</t>
  </si>
  <si>
    <t>кушай</t>
  </si>
  <si>
    <t xml:space="preserve">небо </t>
  </si>
  <si>
    <t>река</t>
  </si>
  <si>
    <t>вода</t>
  </si>
  <si>
    <t>огонь</t>
  </si>
  <si>
    <t>ищи</t>
  </si>
  <si>
    <t>земля</t>
  </si>
  <si>
    <t>смотри</t>
  </si>
  <si>
    <t>еда</t>
  </si>
  <si>
    <t>START</t>
  </si>
  <si>
    <t>UNC</t>
  </si>
  <si>
    <t>PAD</t>
  </si>
  <si>
    <t>END</t>
  </si>
  <si>
    <t>Q</t>
  </si>
  <si>
    <t>K</t>
  </si>
  <si>
    <t>V</t>
  </si>
  <si>
    <t>E</t>
  </si>
  <si>
    <t>Embeddings</t>
  </si>
  <si>
    <t>Rotation matrix</t>
  </si>
  <si>
    <t>Tokens</t>
  </si>
  <si>
    <t>K^T</t>
  </si>
  <si>
    <t>Q*K^T/SQRT(2)</t>
  </si>
  <si>
    <t>aux for softmax</t>
  </si>
  <si>
    <t>ATTENTION*V</t>
  </si>
  <si>
    <t>его</t>
  </si>
  <si>
    <t>был</t>
  </si>
  <si>
    <t>птица</t>
  </si>
  <si>
    <t>сопка</t>
  </si>
  <si>
    <t>поле</t>
  </si>
  <si>
    <t>деревня</t>
  </si>
  <si>
    <t>город</t>
  </si>
  <si>
    <t>будет</t>
  </si>
  <si>
    <t>пей</t>
  </si>
  <si>
    <t>Positional vectors</t>
  </si>
  <si>
    <t>E + Positional</t>
  </si>
  <si>
    <t>aux for positional</t>
  </si>
  <si>
    <t>ATTENTION = SOFTMAX(Q*K^T/SQRT(2))</t>
  </si>
  <si>
    <t>X*Q</t>
  </si>
  <si>
    <t>X*K</t>
  </si>
  <si>
    <t>X*V</t>
  </si>
  <si>
    <t>dw1</t>
  </si>
  <si>
    <t>db1</t>
  </si>
  <si>
    <t>dw2</t>
  </si>
  <si>
    <t>db2</t>
  </si>
  <si>
    <t>old w1</t>
  </si>
  <si>
    <t>old b1</t>
  </si>
  <si>
    <t>old w2</t>
  </si>
  <si>
    <t>old b2</t>
  </si>
  <si>
    <t>old w1 + dw1</t>
  </si>
  <si>
    <t>old b1 + db1</t>
  </si>
  <si>
    <t>old w2 + dw2</t>
  </si>
  <si>
    <t>old b2 + db2</t>
  </si>
  <si>
    <t>w1*x+b1</t>
  </si>
  <si>
    <t>w2*a+b2</t>
  </si>
  <si>
    <t>learning rate</t>
  </si>
  <si>
    <t>Y</t>
  </si>
  <si>
    <t>X</t>
  </si>
  <si>
    <t>tanh(h)</t>
  </si>
  <si>
    <t>X-&gt; W1*X + B1 -&gt; H -&gt; tanh(H) -&gt;  A -&gt; W2*A + B2 -&gt; Z -&gt; sigmoid(Z) -&gt; Pr -&gt;  (Pr - Y)^2 -&gt; E</t>
  </si>
  <si>
    <t>Pr=sigmoid(z)</t>
  </si>
  <si>
    <t>dZ/dW2 = A</t>
  </si>
  <si>
    <t>dZ/dB2 = 1</t>
  </si>
  <si>
    <t>Scaled Anti Gradients</t>
  </si>
  <si>
    <t>dZ/dA = W2</t>
  </si>
  <si>
    <t xml:space="preserve">dH/dB1 = 1 </t>
  </si>
  <si>
    <t>iterations</t>
  </si>
  <si>
    <t>target</t>
  </si>
  <si>
    <t>prediction</t>
  </si>
  <si>
    <t>error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</si>
  <si>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</si>
  <si>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</t>
  </si>
  <si>
    <t>dA/dH = 1 - tanh(H)^2</t>
  </si>
  <si>
    <t>dH/dW1 = [x^t … x^t]^t</t>
  </si>
  <si>
    <t>Add1</t>
  </si>
  <si>
    <t>Average</t>
  </si>
  <si>
    <t>Stddev</t>
  </si>
  <si>
    <t>gamma</t>
  </si>
  <si>
    <t>beta</t>
  </si>
  <si>
    <t>aux</t>
  </si>
  <si>
    <t>Add_and_Norm1</t>
  </si>
  <si>
    <t>Weights1</t>
  </si>
  <si>
    <t>Linear1_out</t>
  </si>
  <si>
    <t>ReLu_out</t>
  </si>
  <si>
    <t>Weights2</t>
  </si>
  <si>
    <t>FFN_out</t>
  </si>
  <si>
    <t>add2</t>
  </si>
  <si>
    <t>gamma1</t>
  </si>
  <si>
    <t>beta1</t>
  </si>
  <si>
    <t>Add_and_Norm2</t>
  </si>
  <si>
    <t>Output_Weights</t>
  </si>
  <si>
    <t>Logits</t>
  </si>
  <si>
    <t>Probabilities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</si>
</sst>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/>
    <xf numFmtId="0" fontId="8" fillId="2" borderId="0" xfId="0" applyFont="1" applyFill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5D6E-1C82-438C-A5E2-10FEDE40309C}">
  <sheetPr codeName="Sheet1"/>
  <dimension ref="A1:AN83"/>
  <sheetViews>
    <sheetView workbookViewId="0">
      <selection activeCell="O32" sqref="O32"/>
    </sheetView>
  </sheetViews>
  <sheetFormatPr defaultRowHeight="15" x14ac:dyDescent="0.25"/>
  <sheetData>
    <row r="1" spans="1:29" x14ac:dyDescent="0.25">
      <c r="A1" s="1" t="s">
        <v>31</v>
      </c>
      <c r="C1" s="1" t="s">
        <v>29</v>
      </c>
      <c r="F1" s="1" t="s">
        <v>45</v>
      </c>
      <c r="I1" s="1" t="s">
        <v>30</v>
      </c>
      <c r="M1" t="s">
        <v>47</v>
      </c>
      <c r="T1" s="1" t="s">
        <v>25</v>
      </c>
      <c r="W1" s="1" t="s">
        <v>26</v>
      </c>
      <c r="Z1" s="1" t="s">
        <v>27</v>
      </c>
    </row>
    <row r="2" spans="1:29" x14ac:dyDescent="0.25">
      <c r="A2" t="s">
        <v>0</v>
      </c>
      <c r="B2">
        <v>1</v>
      </c>
      <c r="C2" s="5">
        <v>0.91832518307218269</v>
      </c>
      <c r="D2" s="5">
        <v>0.17965634388506657</v>
      </c>
      <c r="F2" s="9">
        <v>0</v>
      </c>
      <c r="G2" s="9">
        <v>1</v>
      </c>
      <c r="I2">
        <f>COS(1)</f>
        <v>0.54030230586813977</v>
      </c>
      <c r="J2">
        <f>SIN(1)</f>
        <v>0.8414709848078965</v>
      </c>
      <c r="L2">
        <v>0</v>
      </c>
      <c r="M2" cm="1">
        <f t="array" ref="M2:M3">MMULT($I$2:$J$3,L2:L3)</f>
        <v>0.8414709848078965</v>
      </c>
      <c r="N2" cm="1">
        <f t="array" ref="N2:N3">MMULT($I$2:$J$3,M2:M3)</f>
        <v>0.90929742682568182</v>
      </c>
      <c r="O2" cm="1">
        <f t="array" ref="O2:O3">MMULT($I$2:$J$3,N2:N3)</f>
        <v>0.14112000805986741</v>
      </c>
      <c r="P2" cm="1">
        <f t="array" ref="P2:P3">MMULT($I$2:$J$3,O2:O3)</f>
        <v>-0.7568024953079282</v>
      </c>
      <c r="Q2" cm="1">
        <f t="array" ref="Q2:Q3">MMULT($I$2:$J$3,P2:P3)</f>
        <v>-0.95892427466313868</v>
      </c>
      <c r="R2" cm="1">
        <f t="array" ref="R2:R3">MMULT($I$2:$J$3,Q2:Q3)</f>
        <v>-0.2794154981989263</v>
      </c>
      <c r="T2" s="5">
        <v>0.42458706975870486</v>
      </c>
      <c r="U2" s="5">
        <v>0.48855993246861096</v>
      </c>
      <c r="W2" s="5">
        <v>0.55243747906906682</v>
      </c>
      <c r="X2" s="5">
        <v>0.50366619206389573</v>
      </c>
      <c r="Z2" s="5">
        <v>0.22611984156050335</v>
      </c>
      <c r="AA2" s="5">
        <v>0.29936520332434136</v>
      </c>
    </row>
    <row r="3" spans="1:29" x14ac:dyDescent="0.25">
      <c r="A3" t="s">
        <v>1</v>
      </c>
      <c r="B3">
        <v>2</v>
      </c>
      <c r="C3" s="5">
        <v>0.97105054479085973</v>
      </c>
      <c r="D3" s="5">
        <v>0.61018973504042606</v>
      </c>
      <c r="F3" s="9">
        <v>0.8414709848078965</v>
      </c>
      <c r="G3" s="9">
        <v>0.54030230586813977</v>
      </c>
      <c r="I3">
        <f>-J2</f>
        <v>-0.8414709848078965</v>
      </c>
      <c r="J3">
        <f>I2</f>
        <v>0.54030230586813977</v>
      </c>
      <c r="L3">
        <v>1</v>
      </c>
      <c r="M3">
        <v>0.54030230586813977</v>
      </c>
      <c r="N3">
        <v>-0.4161468365471423</v>
      </c>
      <c r="O3">
        <v>-0.98999249660044553</v>
      </c>
      <c r="P3">
        <v>-0.65364362086361216</v>
      </c>
      <c r="Q3">
        <v>0.28366218546322602</v>
      </c>
      <c r="R3">
        <v>0.96017028665036608</v>
      </c>
      <c r="T3" s="5">
        <v>0.69346770064611496</v>
      </c>
      <c r="U3" s="5">
        <v>6.4407052939849274E-2</v>
      </c>
      <c r="W3" s="5">
        <v>0.2494695973797586</v>
      </c>
      <c r="X3" s="5">
        <v>0.31896671869573057</v>
      </c>
      <c r="Z3" s="5">
        <v>0.66967301122176304</v>
      </c>
      <c r="AA3" s="5">
        <v>0.61010302999235211</v>
      </c>
    </row>
    <row r="4" spans="1:29" x14ac:dyDescent="0.25">
      <c r="A4" t="s">
        <v>36</v>
      </c>
      <c r="B4">
        <v>3</v>
      </c>
      <c r="C4" s="5">
        <v>0.79460939189965385</v>
      </c>
      <c r="D4" s="5">
        <v>0.83563272318952131</v>
      </c>
      <c r="F4" s="9">
        <v>0.90929742682568182</v>
      </c>
      <c r="G4" s="9">
        <v>-0.4161468365471423</v>
      </c>
      <c r="T4" t="s">
        <v>49</v>
      </c>
      <c r="W4" t="s">
        <v>50</v>
      </c>
      <c r="Z4" t="s">
        <v>51</v>
      </c>
    </row>
    <row r="5" spans="1:29" x14ac:dyDescent="0.25">
      <c r="A5" t="s">
        <v>3</v>
      </c>
      <c r="B5">
        <v>4</v>
      </c>
      <c r="C5" s="5">
        <v>0.10635390571508396</v>
      </c>
      <c r="D5" s="5">
        <v>0.73622163286890752</v>
      </c>
      <c r="F5" s="9">
        <v>0.14112000805986741</v>
      </c>
      <c r="G5" s="9">
        <v>-0.98999249660044553</v>
      </c>
      <c r="T5" s="4" cm="1">
        <f t="array" ref="T5:U11">MMULT(X_in, Query)</f>
        <v>1.038299330622301</v>
      </c>
      <c r="U5" s="4">
        <v>9.6754111655790634E-2</v>
      </c>
      <c r="W5" s="4" cm="1">
        <f t="array" ref="W5:X11">MMULT(X_in, Key)</f>
        <v>0.37380505031214956</v>
      </c>
      <c r="X5" s="4">
        <v>0.4777949897277165</v>
      </c>
      <c r="Z5" s="4" cm="1">
        <f t="array" ref="Z5:AA11">MMULT(X_in, Value)</f>
        <v>1.0025414560819956</v>
      </c>
      <c r="AA5" s="4">
        <v>0.91342811155193171</v>
      </c>
    </row>
    <row r="6" spans="1:29" x14ac:dyDescent="0.25">
      <c r="A6" t="s">
        <v>4</v>
      </c>
      <c r="B6">
        <v>5</v>
      </c>
      <c r="C6" s="5">
        <v>0.33120752988430424</v>
      </c>
      <c r="D6" s="5">
        <v>0.92802506743289026</v>
      </c>
      <c r="F6" s="9">
        <v>-0.7568024953079282</v>
      </c>
      <c r="G6" s="9">
        <v>-0.65364362086361216</v>
      </c>
      <c r="T6" s="4">
        <v>1.671757735257819</v>
      </c>
      <c r="U6" s="4">
        <v>0.97503856344610562</v>
      </c>
      <c r="W6" s="4">
        <v>1.3309501768713641</v>
      </c>
      <c r="X6" s="4">
        <v>1.3318019239136039</v>
      </c>
      <c r="Z6" s="4">
        <v>1.2787327191313407</v>
      </c>
      <c r="AA6" s="4">
        <v>1.3353900629469024</v>
      </c>
    </row>
    <row r="7" spans="1:29" x14ac:dyDescent="0.25">
      <c r="A7" t="s">
        <v>37</v>
      </c>
      <c r="B7">
        <v>6</v>
      </c>
      <c r="C7" s="5">
        <v>8.6036301894949041E-2</v>
      </c>
      <c r="D7" s="5">
        <v>0.16130419312563438</v>
      </c>
      <c r="F7" s="9">
        <v>-0.95892427466313868</v>
      </c>
      <c r="G7" s="9">
        <v>0.28366218546322602</v>
      </c>
      <c r="T7" s="4">
        <v>0.17615555062647134</v>
      </c>
      <c r="U7" s="4">
        <v>0.43418110806749566</v>
      </c>
      <c r="W7" s="4">
        <v>0.43520628668543898</v>
      </c>
      <c r="X7" s="4">
        <v>0.36790338511278631</v>
      </c>
      <c r="Z7" s="4">
        <v>-9.6910504551703247E-4</v>
      </c>
      <c r="AA7" s="4">
        <v>8.5969266847137904E-2</v>
      </c>
    </row>
    <row r="8" spans="1:29" x14ac:dyDescent="0.25">
      <c r="A8" t="s">
        <v>43</v>
      </c>
      <c r="B8">
        <v>7</v>
      </c>
      <c r="C8" s="5">
        <v>0.72249467829163105</v>
      </c>
      <c r="D8" s="5">
        <v>0.41452286845650244</v>
      </c>
      <c r="F8" s="9">
        <v>-0.2794154981989263</v>
      </c>
      <c r="G8" s="9">
        <v>0.96017028665036608</v>
      </c>
      <c r="T8" s="4">
        <v>6.9495717907424315E-2</v>
      </c>
      <c r="U8" s="4">
        <v>0.43394304806928252</v>
      </c>
      <c r="W8" s="4">
        <v>0.40544034369411347</v>
      </c>
      <c r="X8" s="4">
        <v>0.32548247767708605</v>
      </c>
      <c r="Z8" s="4">
        <v>-0.10792787628593375</v>
      </c>
      <c r="AA8" s="4">
        <v>-9.4653941792533502E-3</v>
      </c>
    </row>
    <row r="9" spans="1:29" x14ac:dyDescent="0.25">
      <c r="A9" t="s">
        <v>5</v>
      </c>
      <c r="B9">
        <v>8</v>
      </c>
      <c r="C9" s="5">
        <v>2.0999801088026904E-2</v>
      </c>
      <c r="D9" s="5">
        <v>0.10057824816997252</v>
      </c>
      <c r="T9" s="4">
        <v>-0.31255999127597772</v>
      </c>
      <c r="U9" s="4">
        <v>7.5672614301287106E-2</v>
      </c>
      <c r="W9" s="4">
        <v>-1.9262193186258214E-2</v>
      </c>
      <c r="X9" s="4">
        <v>-7.1875363690158664E-2</v>
      </c>
      <c r="Z9" s="4">
        <v>-0.34470649121515934</v>
      </c>
      <c r="AA9" s="4">
        <v>-0.29227912223514069</v>
      </c>
    </row>
    <row r="10" spans="1:29" x14ac:dyDescent="0.25">
      <c r="A10" t="s">
        <v>6</v>
      </c>
      <c r="B10">
        <v>9</v>
      </c>
      <c r="C10" s="5">
        <v>0.33802125078046952</v>
      </c>
      <c r="D10" s="5">
        <v>3.7576720444569389E-2</v>
      </c>
      <c r="J10" s="8" t="s">
        <v>21</v>
      </c>
      <c r="K10" s="8" t="s">
        <v>9</v>
      </c>
      <c r="L10" s="8" t="s">
        <v>5</v>
      </c>
      <c r="M10" s="8" t="s">
        <v>7</v>
      </c>
      <c r="N10" s="8" t="s">
        <v>10</v>
      </c>
      <c r="O10" s="8" t="s">
        <v>24</v>
      </c>
      <c r="P10" s="8" t="s">
        <v>23</v>
      </c>
      <c r="T10" s="4">
        <v>9.4809100608110652E-2</v>
      </c>
      <c r="U10" s="4">
        <v>-0.24678976463798194</v>
      </c>
      <c r="W10" s="4">
        <v>-0.19335807792586251</v>
      </c>
      <c r="X10" s="4">
        <v>-0.13188565654473558</v>
      </c>
      <c r="Z10" s="4">
        <v>0.1962117587833172</v>
      </c>
      <c r="AA10" s="4">
        <v>0.12562746083087936</v>
      </c>
    </row>
    <row r="11" spans="1:29" x14ac:dyDescent="0.25">
      <c r="A11" t="s">
        <v>38</v>
      </c>
      <c r="B11">
        <v>10</v>
      </c>
      <c r="C11" s="5">
        <v>0.64637951859917475</v>
      </c>
      <c r="D11" s="5">
        <v>0.35641278531168097</v>
      </c>
      <c r="J11">
        <v>31</v>
      </c>
      <c r="K11">
        <v>23</v>
      </c>
      <c r="L11">
        <v>8</v>
      </c>
      <c r="M11">
        <v>12</v>
      </c>
      <c r="N11">
        <v>29</v>
      </c>
      <c r="O11">
        <v>32</v>
      </c>
      <c r="P11">
        <v>34</v>
      </c>
      <c r="T11" s="4">
        <v>0.72346871402819046</v>
      </c>
      <c r="U11" s="4">
        <v>9.2024858429718553E-2</v>
      </c>
      <c r="W11" s="4">
        <v>0.28236073031846765</v>
      </c>
      <c r="X11" s="4">
        <v>0.34981541380565473</v>
      </c>
      <c r="Z11" s="4">
        <v>0.68847716821526228</v>
      </c>
      <c r="AA11" s="4">
        <v>0.63239618100558581</v>
      </c>
    </row>
    <row r="12" spans="1:29" x14ac:dyDescent="0.25">
      <c r="A12" t="s">
        <v>20</v>
      </c>
      <c r="B12">
        <v>11</v>
      </c>
      <c r="C12" s="5">
        <v>0.38580940296706234</v>
      </c>
      <c r="D12" s="5">
        <v>0.49596156041768125</v>
      </c>
      <c r="J12" s="1" t="s">
        <v>28</v>
      </c>
      <c r="M12" s="1" t="s">
        <v>46</v>
      </c>
      <c r="W12" s="1" t="s">
        <v>32</v>
      </c>
    </row>
    <row r="13" spans="1:29" x14ac:dyDescent="0.25">
      <c r="A13" t="s">
        <v>7</v>
      </c>
      <c r="B13">
        <v>12</v>
      </c>
      <c r="C13" s="5">
        <v>0.81070385219890817</v>
      </c>
      <c r="D13" s="5">
        <v>0.5074373818712633</v>
      </c>
      <c r="I13">
        <v>31</v>
      </c>
      <c r="J13" s="4" cm="1">
        <f t="array" ref="J13:K13">C32:D32</f>
        <v>7.1295051506115037E-4</v>
      </c>
      <c r="K13" s="4">
        <v>0.49682042881753552</v>
      </c>
      <c r="M13" s="4" cm="1">
        <f t="array" ref="M13:N13">J13:K13+F2:G2</f>
        <v>7.1295051506115037E-4</v>
      </c>
      <c r="N13" s="4">
        <v>1.4968204288175355</v>
      </c>
      <c r="W13" cm="1">
        <f t="array" ref="W13:AC14">TRANSPOSE(X_K)</f>
        <v>0.37380505031214956</v>
      </c>
      <c r="X13">
        <v>1.3309501768713641</v>
      </c>
      <c r="Y13">
        <v>0.43520628668543898</v>
      </c>
      <c r="Z13">
        <v>0.40544034369411347</v>
      </c>
      <c r="AA13">
        <v>-1.9262193186258214E-2</v>
      </c>
      <c r="AB13">
        <v>-0.19335807792586251</v>
      </c>
      <c r="AC13">
        <v>0.28236073031846765</v>
      </c>
    </row>
    <row r="14" spans="1:29" x14ac:dyDescent="0.25">
      <c r="A14" t="s">
        <v>39</v>
      </c>
      <c r="B14">
        <v>13</v>
      </c>
      <c r="C14" s="5">
        <v>2.078769915529044E-2</v>
      </c>
      <c r="D14" s="5">
        <v>0.34803215527527653</v>
      </c>
      <c r="I14">
        <v>23</v>
      </c>
      <c r="J14" s="4">
        <v>0.98378899693496202</v>
      </c>
      <c r="K14" s="4">
        <v>0.75287392602593572</v>
      </c>
      <c r="M14" s="4" cm="1">
        <f t="array" ref="M14:N14">J14:K14+F3:G3</f>
        <v>1.8252599817428585</v>
      </c>
      <c r="N14" s="4">
        <v>1.2931762318940754</v>
      </c>
      <c r="W14">
        <v>0.4777949897277165</v>
      </c>
      <c r="X14">
        <v>1.3318019239136039</v>
      </c>
      <c r="Y14">
        <v>0.36790338511278631</v>
      </c>
      <c r="Z14">
        <v>0.32548247767708605</v>
      </c>
      <c r="AA14">
        <v>-7.1875363690158664E-2</v>
      </c>
      <c r="AB14">
        <v>-0.13188565654473558</v>
      </c>
      <c r="AC14">
        <v>0.34981541380565473</v>
      </c>
    </row>
    <row r="15" spans="1:29" x14ac:dyDescent="0.25">
      <c r="A15" t="s">
        <v>40</v>
      </c>
      <c r="B15">
        <v>14</v>
      </c>
      <c r="C15" s="5">
        <v>0.47673590936625643</v>
      </c>
      <c r="D15" s="5">
        <v>0.96045516874912562</v>
      </c>
      <c r="I15">
        <v>8</v>
      </c>
      <c r="J15" s="4">
        <v>2.0999801088026904E-2</v>
      </c>
      <c r="K15" s="4">
        <v>0.10057824816997252</v>
      </c>
      <c r="M15" s="4" cm="1">
        <f t="array" ref="M15:N15">J15:K15+F4:G4</f>
        <v>0.93029722791370872</v>
      </c>
      <c r="N15" s="4">
        <v>-0.31556858837716978</v>
      </c>
      <c r="P15" s="1" t="s">
        <v>33</v>
      </c>
    </row>
    <row r="16" spans="1:29" x14ac:dyDescent="0.25">
      <c r="A16" t="s">
        <v>18</v>
      </c>
      <c r="B16">
        <v>15</v>
      </c>
      <c r="C16" s="5">
        <v>0.9442273943438122</v>
      </c>
      <c r="D16" s="5">
        <v>5.8964423775490604E-2</v>
      </c>
      <c r="I16">
        <v>12</v>
      </c>
      <c r="J16" s="4">
        <v>0.81070385219890817</v>
      </c>
      <c r="K16" s="4">
        <v>0.5074373818712633</v>
      </c>
      <c r="M16" s="4" cm="1">
        <f t="array" ref="M16:N16">J16:K16+F5:G5</f>
        <v>0.95182386025877563</v>
      </c>
      <c r="N16" s="4">
        <v>-0.48255511472918222</v>
      </c>
      <c r="P16" cm="1">
        <f t="array" ref="P16:V22">MMULT(X_Q,K_T)/SQRT(2)</f>
        <v>0.30713194588388754</v>
      </c>
      <c r="Q16">
        <v>1.068284189872825</v>
      </c>
      <c r="R16">
        <v>0.34469373955929494</v>
      </c>
      <c r="S16">
        <v>0.31993767949220009</v>
      </c>
      <c r="T16">
        <v>-1.9059468790666657E-2</v>
      </c>
      <c r="U16">
        <v>-0.1509842983415208</v>
      </c>
      <c r="V16">
        <v>0.23123879277554532</v>
      </c>
      <c r="X16" s="1" t="s">
        <v>35</v>
      </c>
    </row>
    <row r="17" spans="1:28" x14ac:dyDescent="0.25">
      <c r="A17" t="s">
        <v>14</v>
      </c>
      <c r="B17">
        <v>16</v>
      </c>
      <c r="C17" s="5">
        <v>0.12179569605157825</v>
      </c>
      <c r="D17" s="5">
        <v>0.19977376201164643</v>
      </c>
      <c r="I17">
        <v>29</v>
      </c>
      <c r="J17" s="4">
        <v>0.98992697333592417</v>
      </c>
      <c r="K17" s="4">
        <v>6.0188972712772237E-2</v>
      </c>
      <c r="M17" s="4" cm="1">
        <f t="array" ref="M17:N17">J17:K17+F6:G6</f>
        <v>0.23312447802799596</v>
      </c>
      <c r="N17" s="4">
        <v>-0.59345464815083993</v>
      </c>
      <c r="P17">
        <v>0.7712979522790534</v>
      </c>
      <c r="Q17">
        <v>2.4915504856298076</v>
      </c>
      <c r="R17">
        <v>0.7681155754748481</v>
      </c>
      <c r="S17">
        <v>0.70368155467796878</v>
      </c>
      <c r="T17">
        <v>-7.2324982971555055E-2</v>
      </c>
      <c r="U17">
        <v>-0.31950016289298344</v>
      </c>
      <c r="V17">
        <v>0.57496425944810692</v>
      </c>
      <c r="X17" s="4" cm="1">
        <f t="array" ref="X17:Y23">MMULT(ATTENTION,X_V)</f>
        <v>0.55441845981404103</v>
      </c>
      <c r="Y17" s="4">
        <v>0.57628167111895179</v>
      </c>
    </row>
    <row r="18" spans="1:28" x14ac:dyDescent="0.25">
      <c r="A18" t="s">
        <v>13</v>
      </c>
      <c r="B18">
        <v>17</v>
      </c>
      <c r="C18" s="5">
        <v>0.20711845285182351</v>
      </c>
      <c r="D18" s="5">
        <v>0.397089001055837</v>
      </c>
      <c r="I18">
        <v>32</v>
      </c>
      <c r="J18" s="4" cm="1">
        <f t="array" ref="J18:K18">C33:D33</f>
        <v>0.38982890016067018</v>
      </c>
      <c r="K18" s="4">
        <v>0.20149326989234473</v>
      </c>
      <c r="M18" s="4" cm="1">
        <f t="array" ref="M18:N18">J18:K18+F7:G7</f>
        <v>-0.5690953745024685</v>
      </c>
      <c r="N18" s="4">
        <v>0.48515545535557075</v>
      </c>
      <c r="P18">
        <v>0.19325043954123058</v>
      </c>
      <c r="Q18">
        <v>0.57466391069724543</v>
      </c>
      <c r="R18">
        <v>0.16716053979891107</v>
      </c>
      <c r="S18">
        <v>0.15042912574465123</v>
      </c>
      <c r="T18">
        <v>-2.446594221504007E-2</v>
      </c>
      <c r="U18">
        <v>-6.4575366558262556E-2</v>
      </c>
      <c r="V18">
        <v>0.14256874582042736</v>
      </c>
      <c r="X18" s="4">
        <v>0.84382326792383056</v>
      </c>
      <c r="Y18" s="4">
        <v>0.8793309900644547</v>
      </c>
    </row>
    <row r="19" spans="1:28" x14ac:dyDescent="0.25">
      <c r="A19" t="s">
        <v>15</v>
      </c>
      <c r="B19">
        <v>18</v>
      </c>
      <c r="C19" s="5">
        <v>0.47136971592009469</v>
      </c>
      <c r="D19" s="5">
        <v>0.58488673761005394</v>
      </c>
      <c r="I19">
        <v>34</v>
      </c>
      <c r="J19" s="4" cm="1">
        <f t="array" ref="J19:K19">C35:D35</f>
        <v>0.33470382958508882</v>
      </c>
      <c r="K19" s="4">
        <v>4.9240826168436946E-2</v>
      </c>
      <c r="M19" s="4" cm="1">
        <f t="array" ref="M19:N19">J19:K19+F8:G8</f>
        <v>5.5288331386162515E-2</v>
      </c>
      <c r="N19" s="4">
        <v>1.009411112818803</v>
      </c>
      <c r="P19">
        <v>0.16497767432807872</v>
      </c>
      <c r="Q19">
        <v>0.47405960610595771</v>
      </c>
      <c r="R19">
        <v>0.13427539850716053</v>
      </c>
      <c r="S19">
        <v>0.11979606950290078</v>
      </c>
      <c r="T19">
        <v>-2.3001090648687047E-2</v>
      </c>
      <c r="U19">
        <v>-4.9970120579040933E-2</v>
      </c>
      <c r="V19">
        <v>0.12121424454672658</v>
      </c>
      <c r="X19" s="4">
        <v>0.47650926273609617</v>
      </c>
      <c r="Y19" s="4">
        <v>0.49199168872827975</v>
      </c>
    </row>
    <row r="20" spans="1:28" x14ac:dyDescent="0.25">
      <c r="A20" t="s">
        <v>16</v>
      </c>
      <c r="B20">
        <v>19</v>
      </c>
      <c r="C20" s="5">
        <v>0.58891582803556697</v>
      </c>
      <c r="D20" s="5">
        <v>3.0469147678722663E-2</v>
      </c>
      <c r="P20">
        <v>-5.7049733815552235E-2</v>
      </c>
      <c r="Q20">
        <v>-0.2228947952024288</v>
      </c>
      <c r="R20">
        <v>-7.6500371009263282E-2</v>
      </c>
      <c r="S20">
        <v>-7.2191586199724031E-2</v>
      </c>
      <c r="T20">
        <v>4.1124924511897555E-4</v>
      </c>
      <c r="U20">
        <v>3.5677685515474108E-2</v>
      </c>
      <c r="V20">
        <v>-4.3687334192852943E-2</v>
      </c>
      <c r="X20" s="4">
        <v>0.46102443570630858</v>
      </c>
      <c r="Y20" s="4">
        <v>0.47545979969016972</v>
      </c>
    </row>
    <row r="21" spans="1:28" x14ac:dyDescent="0.25">
      <c r="A21" t="s">
        <v>41</v>
      </c>
      <c r="B21">
        <v>20</v>
      </c>
      <c r="C21" s="5">
        <v>0.45540786091413332</v>
      </c>
      <c r="D21" s="5">
        <v>0.31101924505921652</v>
      </c>
      <c r="G21" t="s">
        <v>34</v>
      </c>
      <c r="P21">
        <v>-5.8318485009329415E-2</v>
      </c>
      <c r="Q21">
        <v>-0.14318127014981188</v>
      </c>
      <c r="R21">
        <v>-3.502531337540063E-2</v>
      </c>
      <c r="S21">
        <v>-2.9618093644602418E-2</v>
      </c>
      <c r="T21">
        <v>1.1251393212446757E-2</v>
      </c>
      <c r="U21">
        <v>1.0052176738060869E-2</v>
      </c>
      <c r="V21">
        <v>-4.211563114367832E-2</v>
      </c>
      <c r="X21" s="4">
        <v>0.36182842237927587</v>
      </c>
      <c r="Y21" s="4">
        <v>0.37076232528320163</v>
      </c>
    </row>
    <row r="22" spans="1:28" x14ac:dyDescent="0.25">
      <c r="A22" t="s">
        <v>42</v>
      </c>
      <c r="B22">
        <v>21</v>
      </c>
      <c r="C22" s="5">
        <v>0.31460833183838954</v>
      </c>
      <c r="D22" s="5">
        <v>0.51780436863603507</v>
      </c>
      <c r="G22">
        <f>EXP(P16)</f>
        <v>1.3595203393509081</v>
      </c>
      <c r="H22">
        <f t="shared" ref="H22:M22" si="0">EXP(Q16)</f>
        <v>2.9103815512980225</v>
      </c>
      <c r="I22">
        <f t="shared" si="0"/>
        <v>1.4115575492249512</v>
      </c>
      <c r="J22">
        <f t="shared" si="0"/>
        <v>1.3770419437085986</v>
      </c>
      <c r="K22">
        <f t="shared" si="0"/>
        <v>0.98112101442766053</v>
      </c>
      <c r="L22">
        <f t="shared" si="0"/>
        <v>0.85986119980010889</v>
      </c>
      <c r="M22">
        <f t="shared" si="0"/>
        <v>1.2601601206565154</v>
      </c>
      <c r="N22">
        <f>SUM(G22:M22)</f>
        <v>10.159643718466764</v>
      </c>
      <c r="P22">
        <v>0.22231810222998696</v>
      </c>
      <c r="Q22">
        <v>0.76753591203004645</v>
      </c>
      <c r="R22">
        <v>0.24657830951003126</v>
      </c>
      <c r="S22">
        <v>0.22859056906132941</v>
      </c>
      <c r="T22">
        <v>-1.4530983755743921E-2</v>
      </c>
      <c r="U22">
        <v>-0.1074981055911548</v>
      </c>
      <c r="V22">
        <v>0.16721015458991614</v>
      </c>
      <c r="X22" s="4">
        <v>0.36539692007674751</v>
      </c>
      <c r="Y22" s="4">
        <v>0.37617873580215627</v>
      </c>
    </row>
    <row r="23" spans="1:28" x14ac:dyDescent="0.25">
      <c r="A23" t="s">
        <v>8</v>
      </c>
      <c r="B23">
        <v>22</v>
      </c>
      <c r="C23" s="5">
        <v>0.62318096779608734</v>
      </c>
      <c r="D23" s="5">
        <v>0.42210599136728622</v>
      </c>
      <c r="G23">
        <f t="shared" ref="G23:G25" si="1">EXP(P17)</f>
        <v>2.1625713473612307</v>
      </c>
      <c r="H23">
        <f t="shared" ref="H23:H25" si="2">EXP(Q17)</f>
        <v>12.079991460930534</v>
      </c>
      <c r="I23">
        <f t="shared" ref="I23:I25" si="3">EXP(R17)</f>
        <v>2.1557001696053031</v>
      </c>
      <c r="J23">
        <f t="shared" ref="J23:J25" si="4">EXP(S17)</f>
        <v>2.0211801119796893</v>
      </c>
      <c r="K23">
        <f t="shared" ref="K23:K25" si="5">EXP(T17)</f>
        <v>0.93022853824875185</v>
      </c>
      <c r="L23">
        <f t="shared" ref="L23:L25" si="6">EXP(U17)</f>
        <v>0.72651208403225687</v>
      </c>
      <c r="M23">
        <f t="shared" ref="M23:M25" si="7">EXP(V17)</f>
        <v>1.7770670124232486</v>
      </c>
      <c r="N23">
        <f t="shared" ref="N23:N28" si="8">SUM(G23:M23)</f>
        <v>21.853250724581017</v>
      </c>
      <c r="X23" s="4">
        <v>0.50196699514852583</v>
      </c>
      <c r="Y23" s="4">
        <v>0.52059538832917107</v>
      </c>
    </row>
    <row r="24" spans="1:28" x14ac:dyDescent="0.25">
      <c r="A24" t="s">
        <v>9</v>
      </c>
      <c r="B24">
        <v>23</v>
      </c>
      <c r="C24" s="5">
        <v>0.98378899693496202</v>
      </c>
      <c r="D24" s="5">
        <v>0.75287392602593572</v>
      </c>
      <c r="G24">
        <f t="shared" si="1"/>
        <v>1.2131865853686528</v>
      </c>
      <c r="H24">
        <f t="shared" si="2"/>
        <v>1.7765333527118958</v>
      </c>
      <c r="I24">
        <f t="shared" si="3"/>
        <v>1.1819439991299838</v>
      </c>
      <c r="J24">
        <f t="shared" si="4"/>
        <v>1.1623329227034105</v>
      </c>
      <c r="K24">
        <f t="shared" si="5"/>
        <v>0.9758309229921972</v>
      </c>
      <c r="L24">
        <f t="shared" si="6"/>
        <v>0.93746545805446202</v>
      </c>
      <c r="M24">
        <f t="shared" si="7"/>
        <v>1.1532323581369546</v>
      </c>
      <c r="N24">
        <f t="shared" si="8"/>
        <v>8.4005255990975574</v>
      </c>
      <c r="P24" s="1" t="s">
        <v>48</v>
      </c>
    </row>
    <row r="25" spans="1:28" x14ac:dyDescent="0.25">
      <c r="A25" t="s">
        <v>44</v>
      </c>
      <c r="B25">
        <v>24</v>
      </c>
      <c r="C25" s="5">
        <v>0.29552167918735339</v>
      </c>
      <c r="D25" s="5">
        <v>0.40381694979541527</v>
      </c>
      <c r="G25">
        <f t="shared" si="1"/>
        <v>1.1793667882614796</v>
      </c>
      <c r="H25">
        <f t="shared" si="2"/>
        <v>1.6065027415462891</v>
      </c>
      <c r="I25">
        <f t="shared" si="3"/>
        <v>1.1437077516841914</v>
      </c>
      <c r="J25">
        <f t="shared" si="4"/>
        <v>1.1272669440293326</v>
      </c>
      <c r="K25">
        <f t="shared" si="5"/>
        <v>0.97726141792381349</v>
      </c>
      <c r="L25">
        <f t="shared" si="6"/>
        <v>0.95125784710974071</v>
      </c>
      <c r="M25">
        <f t="shared" si="7"/>
        <v>1.1288667400043197</v>
      </c>
      <c r="N25">
        <f t="shared" si="8"/>
        <v>8.1142302305591656</v>
      </c>
      <c r="P25" s="4">
        <f>G22/$N22</f>
        <v>0.13381574955032766</v>
      </c>
      <c r="Q25" s="4">
        <f t="shared" ref="Q25:V25" si="9">H22/$N22</f>
        <v>0.2864649225846318</v>
      </c>
      <c r="R25" s="4">
        <f t="shared" si="9"/>
        <v>0.13893770178763468</v>
      </c>
      <c r="S25" s="4">
        <f t="shared" si="9"/>
        <v>0.13554037738603042</v>
      </c>
      <c r="T25" s="4">
        <f t="shared" si="9"/>
        <v>9.6570415421587813E-2</v>
      </c>
      <c r="U25" s="4">
        <f t="shared" si="9"/>
        <v>8.4634975755810679E-2</v>
      </c>
      <c r="V25" s="4">
        <f t="shared" si="9"/>
        <v>0.12403585751397704</v>
      </c>
      <c r="X25" t="s">
        <v>85</v>
      </c>
      <c r="AA25" t="s">
        <v>86</v>
      </c>
      <c r="AB25" t="s">
        <v>87</v>
      </c>
    </row>
    <row r="26" spans="1:28" x14ac:dyDescent="0.25">
      <c r="A26" t="s">
        <v>12</v>
      </c>
      <c r="B26">
        <v>25</v>
      </c>
      <c r="C26" s="5">
        <v>0.97845965740992891</v>
      </c>
      <c r="D26" s="5">
        <v>2.475673783198995E-2</v>
      </c>
      <c r="G26">
        <f t="shared" ref="G26:G28" si="10">EXP(P20)</f>
        <v>0.94454709226749056</v>
      </c>
      <c r="H26">
        <f t="shared" ref="H26:H28" si="11">EXP(Q20)</f>
        <v>0.80019902964331857</v>
      </c>
      <c r="I26">
        <f t="shared" ref="I26:I28" si="12">EXP(R20)</f>
        <v>0.92635257060337362</v>
      </c>
      <c r="J26">
        <f t="shared" ref="J26:J28" si="13">EXP(S20)</f>
        <v>0.93035263600975571</v>
      </c>
      <c r="K26">
        <f t="shared" ref="K26:K28" si="14">EXP(T20)</f>
        <v>1.0004113338196832</v>
      </c>
      <c r="L26">
        <f t="shared" ref="L26:L28" si="15">EXP(U20)</f>
        <v>1.036321771137686</v>
      </c>
      <c r="M26">
        <f t="shared" ref="M26:M28" si="16">EXP(V20)</f>
        <v>0.95725321103530292</v>
      </c>
      <c r="N26">
        <f t="shared" si="8"/>
        <v>6.5954376445166103</v>
      </c>
      <c r="P26" s="4">
        <f t="shared" ref="P26:P31" si="17">G23/$N23</f>
        <v>9.8958794488580276E-2</v>
      </c>
      <c r="Q26" s="4">
        <f t="shared" ref="Q26:Q31" si="18">H23/$N23</f>
        <v>0.55277778181269366</v>
      </c>
      <c r="R26" s="4">
        <f t="shared" ref="R26:R31" si="19">I23/$N23</f>
        <v>9.8644370888973695E-2</v>
      </c>
      <c r="S26" s="4">
        <f t="shared" ref="S26:S31" si="20">J23/$N23</f>
        <v>9.2488762310598549E-2</v>
      </c>
      <c r="T26" s="4">
        <f t="shared" ref="T26:T31" si="21">K23/$N23</f>
        <v>4.2567055582372025E-2</v>
      </c>
      <c r="U26" s="4">
        <f t="shared" ref="U26:U31" si="22">L23/$N23</f>
        <v>3.3245034946451243E-2</v>
      </c>
      <c r="V26" s="4">
        <f t="shared" ref="V26:V31" si="23">M23/$N23</f>
        <v>8.1318199970330476E-2</v>
      </c>
      <c r="X26" cm="1">
        <f t="array" ref="X26:Y32">X_in+ATTENTION_V</f>
        <v>0.55513141032910218</v>
      </c>
      <c r="Y26">
        <v>2.0731020999364871</v>
      </c>
      <c r="AA26">
        <f>AVERAGE(X26:Y26)</f>
        <v>1.3141167551327946</v>
      </c>
      <c r="AB26">
        <f>_xlfn.STDEV.P(X26:Y26)</f>
        <v>0.75898534480369251</v>
      </c>
    </row>
    <row r="27" spans="1:28" x14ac:dyDescent="0.25">
      <c r="A27" t="s">
        <v>11</v>
      </c>
      <c r="B27">
        <v>26</v>
      </c>
      <c r="C27" s="5">
        <v>0.95912499746793811</v>
      </c>
      <c r="D27" s="5">
        <v>0.62723884678741515</v>
      </c>
      <c r="G27">
        <f t="shared" si="10"/>
        <v>0.94334945692788663</v>
      </c>
      <c r="H27">
        <f t="shared" si="11"/>
        <v>0.86659696649498819</v>
      </c>
      <c r="I27">
        <f t="shared" si="12"/>
        <v>0.96558097383453734</v>
      </c>
      <c r="J27">
        <f t="shared" si="13"/>
        <v>0.97081622364528397</v>
      </c>
      <c r="K27">
        <f t="shared" si="14"/>
        <v>1.0113149281991756</v>
      </c>
      <c r="L27">
        <f t="shared" si="15"/>
        <v>1.0101028695820746</v>
      </c>
      <c r="M27">
        <f t="shared" si="16"/>
        <v>0.95875891177318495</v>
      </c>
      <c r="N27">
        <f t="shared" si="8"/>
        <v>6.7265203304571308</v>
      </c>
      <c r="P27" s="4">
        <f t="shared" si="17"/>
        <v>0.14441793802747077</v>
      </c>
      <c r="Q27" s="4">
        <f t="shared" si="18"/>
        <v>0.21147883328904366</v>
      </c>
      <c r="R27" s="4">
        <f t="shared" si="19"/>
        <v>0.14069881523329403</v>
      </c>
      <c r="S27" s="4">
        <f t="shared" si="20"/>
        <v>0.13836430935086685</v>
      </c>
      <c r="T27" s="4">
        <f t="shared" si="21"/>
        <v>0.11616307949790995</v>
      </c>
      <c r="U27" s="4">
        <f t="shared" si="22"/>
        <v>0.11159604800861163</v>
      </c>
      <c r="V27" s="4">
        <f t="shared" si="23"/>
        <v>0.13728097659280306</v>
      </c>
      <c r="X27">
        <v>2.6690832496666892</v>
      </c>
      <c r="Y27">
        <v>2.1725072219585302</v>
      </c>
      <c r="AA27">
        <f t="shared" ref="AA27:AA32" si="24">AVERAGE(X27:Y27)</f>
        <v>2.4207952358126095</v>
      </c>
      <c r="AB27">
        <f t="shared" ref="AB27:AB32" si="25">_xlfn.STDEV.P(X27:Y27)</f>
        <v>0.24828801385408075</v>
      </c>
    </row>
    <row r="28" spans="1:28" x14ac:dyDescent="0.25">
      <c r="A28" t="s">
        <v>19</v>
      </c>
      <c r="B28">
        <v>27</v>
      </c>
      <c r="C28" s="5">
        <v>7.22102265104132E-2</v>
      </c>
      <c r="D28" s="5">
        <v>0.6577794884813386</v>
      </c>
      <c r="G28">
        <f t="shared" si="10"/>
        <v>1.2489686143814414</v>
      </c>
      <c r="H28">
        <f t="shared" si="11"/>
        <v>2.154450951117155</v>
      </c>
      <c r="I28">
        <f t="shared" si="12"/>
        <v>1.2796393872275187</v>
      </c>
      <c r="J28">
        <f t="shared" si="13"/>
        <v>1.256827349650641</v>
      </c>
      <c r="K28">
        <f t="shared" si="14"/>
        <v>0.98557408147269743</v>
      </c>
      <c r="L28">
        <f t="shared" si="15"/>
        <v>0.89807822377652191</v>
      </c>
      <c r="M28">
        <f t="shared" si="16"/>
        <v>1.1820026424892571</v>
      </c>
      <c r="N28">
        <f t="shared" si="8"/>
        <v>9.0055412501152325</v>
      </c>
      <c r="P28" s="4">
        <f t="shared" si="17"/>
        <v>0.14534549239431765</v>
      </c>
      <c r="Q28" s="4">
        <f t="shared" si="18"/>
        <v>0.19798584658049348</v>
      </c>
      <c r="R28" s="4">
        <f t="shared" si="19"/>
        <v>0.14095086276660609</v>
      </c>
      <c r="S28" s="4">
        <f t="shared" si="20"/>
        <v>0.13892469303913882</v>
      </c>
      <c r="T28" s="4">
        <f t="shared" si="21"/>
        <v>0.12043797010384664</v>
      </c>
      <c r="U28" s="4">
        <f t="shared" si="22"/>
        <v>0.11723328277366218</v>
      </c>
      <c r="V28" s="4">
        <f t="shared" si="23"/>
        <v>0.13912185234193528</v>
      </c>
      <c r="X28">
        <v>1.4068064906498048</v>
      </c>
      <c r="Y28">
        <v>0.17642310035110997</v>
      </c>
      <c r="AA28">
        <f t="shared" si="24"/>
        <v>0.79161479550045732</v>
      </c>
      <c r="AB28">
        <f t="shared" si="25"/>
        <v>0.61519169514934746</v>
      </c>
    </row>
    <row r="29" spans="1:28" x14ac:dyDescent="0.25">
      <c r="A29" t="s">
        <v>2</v>
      </c>
      <c r="B29">
        <v>28</v>
      </c>
      <c r="C29" s="5">
        <v>0.37470441107830665</v>
      </c>
      <c r="D29" s="5">
        <v>0.35025867613473483</v>
      </c>
      <c r="P29" s="4">
        <f t="shared" si="17"/>
        <v>0.14321219351573716</v>
      </c>
      <c r="Q29" s="4">
        <f t="shared" si="18"/>
        <v>0.12132614585608237</v>
      </c>
      <c r="R29" s="4">
        <f t="shared" si="19"/>
        <v>0.14045354084630535</v>
      </c>
      <c r="S29" s="4">
        <f t="shared" si="20"/>
        <v>0.14106003060816485</v>
      </c>
      <c r="T29" s="4">
        <f t="shared" si="21"/>
        <v>0.15168232765439249</v>
      </c>
      <c r="U29" s="4">
        <f t="shared" si="22"/>
        <v>0.15712706676853733</v>
      </c>
      <c r="V29" s="4">
        <f t="shared" si="23"/>
        <v>0.14513869475078048</v>
      </c>
      <c r="X29">
        <v>1.4128482959650843</v>
      </c>
      <c r="Y29">
        <v>-7.0953150390125064E-3</v>
      </c>
      <c r="AA29">
        <f t="shared" si="24"/>
        <v>0.70287649046303591</v>
      </c>
      <c r="AB29">
        <f t="shared" si="25"/>
        <v>0.70997180550204841</v>
      </c>
    </row>
    <row r="30" spans="1:28" x14ac:dyDescent="0.25">
      <c r="A30" t="s">
        <v>10</v>
      </c>
      <c r="B30">
        <v>29</v>
      </c>
      <c r="C30" s="5">
        <v>0.98992697333592417</v>
      </c>
      <c r="D30" s="5">
        <v>6.0188972712772237E-2</v>
      </c>
      <c r="P30" s="4">
        <f t="shared" si="17"/>
        <v>0.14024330717569944</v>
      </c>
      <c r="Q30" s="4">
        <f t="shared" si="18"/>
        <v>0.12883287701831636</v>
      </c>
      <c r="R30" s="4">
        <f t="shared" si="19"/>
        <v>0.14354836176774283</v>
      </c>
      <c r="S30" s="4">
        <f t="shared" si="20"/>
        <v>0.14432666162466021</v>
      </c>
      <c r="T30" s="4">
        <f t="shared" si="21"/>
        <v>0.15034741270609484</v>
      </c>
      <c r="U30" s="4">
        <f t="shared" si="22"/>
        <v>0.15016722167751606</v>
      </c>
      <c r="V30" s="4">
        <f t="shared" si="23"/>
        <v>0.14253415802997033</v>
      </c>
      <c r="X30">
        <v>0.59495290040727178</v>
      </c>
      <c r="Y30">
        <v>-0.22269232286763829</v>
      </c>
      <c r="AA30">
        <f t="shared" si="24"/>
        <v>0.18613028876981674</v>
      </c>
      <c r="AB30">
        <f t="shared" si="25"/>
        <v>0.40882261163745504</v>
      </c>
    </row>
    <row r="31" spans="1:28" x14ac:dyDescent="0.25">
      <c r="A31" t="s">
        <v>17</v>
      </c>
      <c r="B31">
        <v>30</v>
      </c>
      <c r="C31" s="5">
        <v>0.72182760767391863</v>
      </c>
      <c r="D31" s="5">
        <v>0.59102005824843074</v>
      </c>
      <c r="P31" s="4">
        <f t="shared" si="17"/>
        <v>0.13868890049950744</v>
      </c>
      <c r="Q31" s="4">
        <f t="shared" si="18"/>
        <v>0.23923614264601667</v>
      </c>
      <c r="R31" s="4">
        <f t="shared" si="19"/>
        <v>0.14209466723736841</v>
      </c>
      <c r="S31" s="4">
        <f t="shared" si="20"/>
        <v>0.13956155601803044</v>
      </c>
      <c r="T31" s="4">
        <f t="shared" si="21"/>
        <v>0.10944084915052565</v>
      </c>
      <c r="U31" s="4">
        <f t="shared" si="22"/>
        <v>9.9725069136186603E-2</v>
      </c>
      <c r="V31" s="4">
        <f t="shared" si="23"/>
        <v>0.13125281531236477</v>
      </c>
      <c r="X31">
        <v>-0.20369845442572099</v>
      </c>
      <c r="Y31">
        <v>0.86133419115772702</v>
      </c>
      <c r="AA31">
        <f t="shared" si="24"/>
        <v>0.32881786836600302</v>
      </c>
      <c r="AB31">
        <f t="shared" si="25"/>
        <v>0.53251632279172412</v>
      </c>
    </row>
    <row r="32" spans="1:28" x14ac:dyDescent="0.25">
      <c r="A32" t="s">
        <v>21</v>
      </c>
      <c r="B32">
        <v>31</v>
      </c>
      <c r="C32" s="5">
        <v>7.1295051506115037E-4</v>
      </c>
      <c r="D32" s="5">
        <v>0.49682042881753552</v>
      </c>
      <c r="X32">
        <v>0.55725532653468834</v>
      </c>
      <c r="Y32">
        <v>1.530006501147974</v>
      </c>
      <c r="AA32">
        <f t="shared" si="24"/>
        <v>1.0436309138413311</v>
      </c>
      <c r="AB32">
        <f t="shared" si="25"/>
        <v>0.48637558730664304</v>
      </c>
    </row>
    <row r="33" spans="1:28" x14ac:dyDescent="0.25">
      <c r="A33" t="s">
        <v>24</v>
      </c>
      <c r="B33">
        <v>32</v>
      </c>
      <c r="C33" s="5">
        <v>0.38982890016067018</v>
      </c>
      <c r="D33" s="5">
        <v>0.20149326989234473</v>
      </c>
    </row>
    <row r="34" spans="1:28" x14ac:dyDescent="0.25">
      <c r="A34" t="s">
        <v>22</v>
      </c>
      <c r="B34">
        <v>33</v>
      </c>
      <c r="C34" s="5">
        <v>3.6234128118902809E-2</v>
      </c>
      <c r="D34" s="5">
        <v>0.41723688063154496</v>
      </c>
      <c r="G34" s="1" t="s">
        <v>92</v>
      </c>
      <c r="S34" t="s">
        <v>88</v>
      </c>
      <c r="U34" t="s">
        <v>89</v>
      </c>
      <c r="X34" t="s">
        <v>90</v>
      </c>
      <c r="AA34" s="1" t="s">
        <v>91</v>
      </c>
    </row>
    <row r="35" spans="1:28" x14ac:dyDescent="0.25">
      <c r="A35" t="s">
        <v>23</v>
      </c>
      <c r="B35">
        <v>34</v>
      </c>
      <c r="C35" s="5">
        <v>0.33470382958508882</v>
      </c>
      <c r="D35" s="5">
        <v>4.9240826168436946E-2</v>
      </c>
      <c r="G35" s="5">
        <v>0.10498475705078014</v>
      </c>
      <c r="H35" s="5">
        <v>0.54327670078257539</v>
      </c>
      <c r="I35" s="5">
        <v>3.5265383733935951E-2</v>
      </c>
      <c r="J35" s="5">
        <v>0.72820070101320045</v>
      </c>
      <c r="K35" s="5">
        <v>0.25239493106942645</v>
      </c>
      <c r="L35" s="5">
        <v>0.7371315729962844</v>
      </c>
      <c r="S35" s="5">
        <v>1</v>
      </c>
      <c r="T35" s="5">
        <v>1</v>
      </c>
      <c r="U35" s="5">
        <v>0</v>
      </c>
      <c r="V35" s="5">
        <v>0</v>
      </c>
      <c r="X35">
        <f>(X26-$AA26)/($AB26+0.00001)</f>
        <v>-0.99998682468862488</v>
      </c>
      <c r="Y35">
        <f>(Y26-$AA26)/($AB26+0.00001)</f>
        <v>0.99998682468862499</v>
      </c>
      <c r="AA35" s="4">
        <f>X35*S$35+U$35</f>
        <v>-0.99998682468862488</v>
      </c>
      <c r="AB35" s="4">
        <f>Y35*T$35+V$35</f>
        <v>0.99998682468862499</v>
      </c>
    </row>
    <row r="36" spans="1:28" x14ac:dyDescent="0.25">
      <c r="C36">
        <f ca="1">RAND()</f>
        <v>0.94515860195345824</v>
      </c>
      <c r="G36" s="5">
        <v>0.46969453925728022</v>
      </c>
      <c r="H36" s="5">
        <v>0.53069381072743871</v>
      </c>
      <c r="I36" s="5">
        <v>0.7081059808625485</v>
      </c>
      <c r="J36" s="5">
        <v>0.81169525728427483</v>
      </c>
      <c r="K36" s="5">
        <v>0.19308437343836726</v>
      </c>
      <c r="L36" s="5">
        <v>0.22310807352937112</v>
      </c>
      <c r="X36">
        <f t="shared" ref="X36:Y36" si="26">(X27-$AA27)/($AB27+0.00001)</f>
        <v>0.99995972581558012</v>
      </c>
      <c r="Y36">
        <f t="shared" si="26"/>
        <v>-0.99995972581557835</v>
      </c>
      <c r="AA36" s="4">
        <f t="shared" ref="AA36:AA41" si="27">X36*S$35+U$35</f>
        <v>0.99995972581558012</v>
      </c>
      <c r="AB36" s="4">
        <f t="shared" ref="AB36:AB41" si="28">Y36*T$35+V$35</f>
        <v>-0.99995972581557835</v>
      </c>
    </row>
    <row r="37" spans="1:28" x14ac:dyDescent="0.25">
      <c r="G37" s="5"/>
      <c r="H37" s="5"/>
      <c r="X37">
        <f t="shared" ref="X37:Y37" si="29">(X28-$AA28)/($AB28+0.00001)</f>
        <v>0.99998374516832644</v>
      </c>
      <c r="Y37">
        <f t="shared" si="29"/>
        <v>-0.99998374516832622</v>
      </c>
      <c r="AA37" s="4">
        <f t="shared" si="27"/>
        <v>0.99998374516832644</v>
      </c>
      <c r="AB37" s="4">
        <f t="shared" si="28"/>
        <v>-0.99998374516832622</v>
      </c>
    </row>
    <row r="38" spans="1:28" x14ac:dyDescent="0.25">
      <c r="G38" t="s">
        <v>93</v>
      </c>
      <c r="H38" s="5"/>
      <c r="N38" s="1" t="s">
        <v>94</v>
      </c>
      <c r="X38">
        <f t="shared" ref="X38:Y38" si="30">(X29-$AA29)/($AB29+0.00001)</f>
        <v>0.99998591513201818</v>
      </c>
      <c r="Y38">
        <f t="shared" si="30"/>
        <v>-0.99998591513201818</v>
      </c>
      <c r="AA38" s="4">
        <f t="shared" si="27"/>
        <v>0.99998591513201818</v>
      </c>
      <c r="AB38" s="4">
        <f t="shared" si="28"/>
        <v>-0.99998591513201818</v>
      </c>
    </row>
    <row r="39" spans="1:28" x14ac:dyDescent="0.25">
      <c r="G39" cm="1">
        <f t="array" ref="G39:L45">MMULT(Add_and_Norm1,Weights1)</f>
        <v>0.36470497704155797</v>
      </c>
      <c r="H39">
        <v>-1.2582724271642198E-2</v>
      </c>
      <c r="I39">
        <v>0.67283173224423964</v>
      </c>
      <c r="J39">
        <v>8.3493456204297489E-2</v>
      </c>
      <c r="K39">
        <v>-5.9309776195994535E-2</v>
      </c>
      <c r="L39">
        <v>-0.51401672704725354</v>
      </c>
      <c r="N39" s="4">
        <f>MAX(0,G39)</f>
        <v>0.36470497704155797</v>
      </c>
      <c r="O39" s="4">
        <f t="shared" ref="O39:S39" si="31">MAX(0,H39)</f>
        <v>0</v>
      </c>
      <c r="P39" s="4">
        <f t="shared" si="31"/>
        <v>0.67283173224423964</v>
      </c>
      <c r="Q39" s="4">
        <f t="shared" si="31"/>
        <v>8.3493456204297489E-2</v>
      </c>
      <c r="R39" s="4">
        <f t="shared" si="31"/>
        <v>0</v>
      </c>
      <c r="S39" s="4">
        <f t="shared" si="31"/>
        <v>0</v>
      </c>
      <c r="X39">
        <f t="shared" ref="X39:Y39" si="32">(X30-$AA30)/($AB30+0.00001)</f>
        <v>0.9999755401117344</v>
      </c>
      <c r="Y39">
        <f t="shared" si="32"/>
        <v>-0.9999755401117344</v>
      </c>
      <c r="AA39" s="4">
        <f t="shared" si="27"/>
        <v>0.9999755401117344</v>
      </c>
      <c r="AB39" s="4">
        <f t="shared" si="28"/>
        <v>-0.9999755401117344</v>
      </c>
    </row>
    <row r="40" spans="1:28" x14ac:dyDescent="0.25">
      <c r="G40">
        <v>-0.36469509381747095</v>
      </c>
      <c r="H40">
        <v>1.2582383289503007E-2</v>
      </c>
      <c r="I40">
        <v>-0.67281349902231735</v>
      </c>
      <c r="J40">
        <v>-8.3491193595915614E-2</v>
      </c>
      <c r="K40">
        <v>5.9308168946723472E-2</v>
      </c>
      <c r="L40">
        <v>0.51400279758970002</v>
      </c>
      <c r="N40" s="4">
        <f t="shared" ref="N40:N45" si="33">MAX(0,G40)</f>
        <v>0</v>
      </c>
      <c r="O40" s="4">
        <f t="shared" ref="O40:O45" si="34">MAX(0,H40)</f>
        <v>1.2582383289503007E-2</v>
      </c>
      <c r="P40" s="4">
        <f t="shared" ref="P40:P45" si="35">MAX(0,I40)</f>
        <v>0</v>
      </c>
      <c r="Q40" s="4">
        <f t="shared" ref="Q40:Q45" si="36">MAX(0,J40)</f>
        <v>0</v>
      </c>
      <c r="R40" s="4">
        <f t="shared" ref="R40:R45" si="37">MAX(0,K40)</f>
        <v>5.9308168946723472E-2</v>
      </c>
      <c r="S40" s="4">
        <f t="shared" ref="S40:S45" si="38">MAX(0,L40)</f>
        <v>0.51400279758970002</v>
      </c>
      <c r="X40">
        <f t="shared" ref="X40:Y40" si="39">(X31-$AA31)/($AB31+0.00001)</f>
        <v>-0.99998122158554037</v>
      </c>
      <c r="Y40">
        <f t="shared" si="39"/>
        <v>0.99998122158554037</v>
      </c>
      <c r="AA40" s="4">
        <f t="shared" si="27"/>
        <v>-0.99998122158554037</v>
      </c>
      <c r="AB40" s="4">
        <f t="shared" si="28"/>
        <v>0.99998122158554037</v>
      </c>
    </row>
    <row r="41" spans="1:28" x14ac:dyDescent="0.25">
      <c r="G41">
        <v>-0.36470385391038052</v>
      </c>
      <c r="H41">
        <v>1.2582685522376957E-2</v>
      </c>
      <c r="I41">
        <v>-0.67282966021796298</v>
      </c>
      <c r="J41">
        <v>-8.3493199081116298E-2</v>
      </c>
      <c r="K41">
        <v>5.9309593547928474E-2</v>
      </c>
      <c r="L41">
        <v>0.51401514410145321</v>
      </c>
      <c r="N41" s="4">
        <f t="shared" si="33"/>
        <v>0</v>
      </c>
      <c r="O41" s="4">
        <f t="shared" si="34"/>
        <v>1.2582685522376957E-2</v>
      </c>
      <c r="P41" s="4">
        <f t="shared" si="35"/>
        <v>0</v>
      </c>
      <c r="Q41" s="4">
        <f t="shared" si="36"/>
        <v>0</v>
      </c>
      <c r="R41" s="4">
        <f t="shared" si="37"/>
        <v>5.9309593547928474E-2</v>
      </c>
      <c r="S41" s="4">
        <f t="shared" si="38"/>
        <v>0.51401514410145321</v>
      </c>
      <c r="X41">
        <f t="shared" ref="X41:Y41" si="40">(X32-$AA32)/($AB32+0.00001)</f>
        <v>-0.99997944018025764</v>
      </c>
      <c r="Y41">
        <f t="shared" si="40"/>
        <v>0.99997944018025786</v>
      </c>
      <c r="AA41" s="4">
        <f t="shared" si="27"/>
        <v>-0.99997944018025764</v>
      </c>
      <c r="AB41" s="4">
        <f t="shared" si="28"/>
        <v>0.99997944018025786</v>
      </c>
    </row>
    <row r="42" spans="1:28" x14ac:dyDescent="0.25">
      <c r="G42">
        <v>-0.36470464531736602</v>
      </c>
      <c r="H42">
        <v>1.2582712826791353E-2</v>
      </c>
      <c r="I42">
        <v>-0.67283112025762914</v>
      </c>
      <c r="J42">
        <v>-8.3493380261272065E-2</v>
      </c>
      <c r="K42">
        <v>5.9309722249685032E-2</v>
      </c>
      <c r="L42">
        <v>0.51401625951378371</v>
      </c>
      <c r="N42" s="4">
        <f t="shared" si="33"/>
        <v>0</v>
      </c>
      <c r="O42" s="4">
        <f t="shared" si="34"/>
        <v>1.2582712826791353E-2</v>
      </c>
      <c r="P42" s="4">
        <f t="shared" si="35"/>
        <v>0</v>
      </c>
      <c r="Q42" s="4">
        <f t="shared" si="36"/>
        <v>0</v>
      </c>
      <c r="R42" s="4">
        <f t="shared" si="37"/>
        <v>5.9309722249685032E-2</v>
      </c>
      <c r="S42" s="4">
        <f t="shared" si="38"/>
        <v>0.51401625951378371</v>
      </c>
    </row>
    <row r="43" spans="1:28" x14ac:dyDescent="0.25">
      <c r="G43">
        <v>-0.36470086144597791</v>
      </c>
      <c r="H43">
        <v>1.2582582279051846E-2</v>
      </c>
      <c r="I43">
        <v>-0.67282413952278619</v>
      </c>
      <c r="J43">
        <v>-8.3492514003557172E-2</v>
      </c>
      <c r="K43">
        <v>5.9309106901446557E-2</v>
      </c>
      <c r="L43">
        <v>0.51401092650955049</v>
      </c>
      <c r="N43" s="4">
        <f t="shared" si="33"/>
        <v>0</v>
      </c>
      <c r="O43" s="4">
        <f t="shared" si="34"/>
        <v>1.2582582279051846E-2</v>
      </c>
      <c r="P43" s="4">
        <f t="shared" si="35"/>
        <v>0</v>
      </c>
      <c r="Q43" s="4">
        <f t="shared" si="36"/>
        <v>0</v>
      </c>
      <c r="R43" s="4">
        <f t="shared" si="37"/>
        <v>5.9309106901446557E-2</v>
      </c>
      <c r="S43" s="4">
        <f t="shared" si="38"/>
        <v>0.51401092650955049</v>
      </c>
    </row>
    <row r="44" spans="1:28" x14ac:dyDescent="0.25">
      <c r="G44">
        <v>0.36470293353505234</v>
      </c>
      <c r="H44">
        <v>-1.2582653768412166E-2</v>
      </c>
      <c r="I44">
        <v>0.67282796224901431</v>
      </c>
      <c r="J44">
        <v>8.3492988375691635E-2</v>
      </c>
      <c r="K44">
        <v>-5.930944387282619E-2</v>
      </c>
      <c r="L44">
        <v>-0.51401384692059826</v>
      </c>
      <c r="N44" s="4">
        <f t="shared" si="33"/>
        <v>0.36470293353505234</v>
      </c>
      <c r="O44" s="4">
        <f t="shared" si="34"/>
        <v>0</v>
      </c>
      <c r="P44" s="4">
        <f t="shared" si="35"/>
        <v>0.67282796224901431</v>
      </c>
      <c r="Q44" s="4">
        <f t="shared" si="36"/>
        <v>8.3492988375691635E-2</v>
      </c>
      <c r="R44" s="4">
        <f t="shared" si="37"/>
        <v>0</v>
      </c>
      <c r="S44" s="4">
        <f t="shared" si="38"/>
        <v>0</v>
      </c>
      <c r="V44" t="s">
        <v>98</v>
      </c>
      <c r="X44" t="s">
        <v>99</v>
      </c>
    </row>
    <row r="45" spans="1:28" x14ac:dyDescent="0.25">
      <c r="G45">
        <v>0.36470228383911973</v>
      </c>
      <c r="H45">
        <v>-1.2582631353185159E-2</v>
      </c>
      <c r="I45">
        <v>0.67282676364722049</v>
      </c>
      <c r="J45">
        <v>8.34928396380481E-2</v>
      </c>
      <c r="K45">
        <v>-5.9309338216685437E-2</v>
      </c>
      <c r="L45">
        <v>-0.51401293123642078</v>
      </c>
      <c r="N45" s="4">
        <f t="shared" si="33"/>
        <v>0.36470228383911973</v>
      </c>
      <c r="O45" s="4">
        <f t="shared" si="34"/>
        <v>0</v>
      </c>
      <c r="P45" s="4">
        <f t="shared" si="35"/>
        <v>0.67282676364722049</v>
      </c>
      <c r="Q45" s="4">
        <f t="shared" si="36"/>
        <v>8.34928396380481E-2</v>
      </c>
      <c r="R45" s="4">
        <f t="shared" si="37"/>
        <v>0</v>
      </c>
      <c r="S45" s="4">
        <f t="shared" si="38"/>
        <v>0</v>
      </c>
      <c r="V45" s="5">
        <v>1</v>
      </c>
      <c r="W45" s="5">
        <v>1</v>
      </c>
      <c r="X45" s="5">
        <v>0</v>
      </c>
      <c r="Y45" s="5">
        <v>0</v>
      </c>
    </row>
    <row r="48" spans="1:28" x14ac:dyDescent="0.25">
      <c r="G48" s="1" t="s">
        <v>95</v>
      </c>
      <c r="J48" s="1" t="s">
        <v>96</v>
      </c>
      <c r="M48" t="s">
        <v>97</v>
      </c>
      <c r="P48" t="s">
        <v>86</v>
      </c>
      <c r="Q48" t="s">
        <v>87</v>
      </c>
      <c r="S48" t="s">
        <v>90</v>
      </c>
      <c r="V48" s="1" t="s">
        <v>100</v>
      </c>
    </row>
    <row r="49" spans="7:40" x14ac:dyDescent="0.25">
      <c r="G49" s="5">
        <v>0.90570412308853654</v>
      </c>
      <c r="H49" s="5">
        <v>0.22732560581711481</v>
      </c>
      <c r="I49" s="5"/>
      <c r="J49" s="4" cm="1">
        <f t="array" ref="J49:K55">MMULT(ReLu_out,Weights2)</f>
        <v>0.99402693055027624</v>
      </c>
      <c r="K49" s="4">
        <v>0.36325802922402128</v>
      </c>
      <c r="L49" s="5"/>
      <c r="M49">
        <f>J49+AA35</f>
        <v>-5.9598941383486315E-3</v>
      </c>
      <c r="N49">
        <f>K49+AB35</f>
        <v>1.3632448539126463</v>
      </c>
      <c r="P49">
        <f>AVERAGE(M49:N49)</f>
        <v>0.67864247988714888</v>
      </c>
      <c r="Q49">
        <f>_xlfn.STDEV.P(M49:N49)</f>
        <v>0.6846023740254974</v>
      </c>
      <c r="S49">
        <f>(M49-$P49)/($Q49+0.00001)</f>
        <v>-0.99998539319419388</v>
      </c>
      <c r="T49">
        <f>(N49-$P49)/($Q49+0.00001)</f>
        <v>0.99998539319419377</v>
      </c>
      <c r="V49" s="4">
        <f>S49*V$45+X$45</f>
        <v>-0.99998539319419388</v>
      </c>
      <c r="W49" s="4">
        <f>T49*W$45+Y$45</f>
        <v>0.99998539319419377</v>
      </c>
    </row>
    <row r="50" spans="7:40" x14ac:dyDescent="0.25">
      <c r="G50" s="5">
        <v>0.87122759091036095</v>
      </c>
      <c r="H50" s="5">
        <v>0.49097502313416674</v>
      </c>
      <c r="I50" s="5"/>
      <c r="J50" s="4">
        <v>0.16797237115029345</v>
      </c>
      <c r="K50" s="4">
        <v>0.13680165376306203</v>
      </c>
      <c r="L50" s="5"/>
      <c r="M50">
        <f t="shared" ref="M50:N50" si="41">J50+AA36</f>
        <v>1.1679320969658735</v>
      </c>
      <c r="N50">
        <f t="shared" si="41"/>
        <v>-0.86315807205251627</v>
      </c>
      <c r="P50">
        <f t="shared" ref="P50:P55" si="42">AVERAGE(M50:N50)</f>
        <v>0.15238701245667863</v>
      </c>
      <c r="Q50">
        <f t="shared" ref="Q50:Q55" si="43">_xlfn.STDEV.P(M50:N50)</f>
        <v>1.0155450845091949</v>
      </c>
      <c r="S50">
        <f t="shared" ref="S50:S55" si="44">(M50-$P50)/($Q50+0.00001)</f>
        <v>0.9999901531682992</v>
      </c>
      <c r="T50">
        <f t="shared" ref="T50:T55" si="45">(N50-$P50)/($Q50+0.00001)</f>
        <v>-0.9999901531682992</v>
      </c>
      <c r="V50" s="4">
        <f t="shared" ref="V50:V55" si="46">S50*V$45+X$45</f>
        <v>0.9999901531682992</v>
      </c>
      <c r="W50" s="4">
        <f t="shared" ref="W50:W55" si="47">T50*W$45+Y$45</f>
        <v>-0.9999901531682992</v>
      </c>
    </row>
    <row r="51" spans="7:40" x14ac:dyDescent="0.25">
      <c r="G51" s="5">
        <v>0.8900050333845535</v>
      </c>
      <c r="H51" s="5">
        <v>0.37369786735566801</v>
      </c>
      <c r="J51" s="4">
        <v>0.16797640590042301</v>
      </c>
      <c r="K51" s="4">
        <v>0.13680493978258121</v>
      </c>
      <c r="M51">
        <f t="shared" ref="M51:N51" si="48">J51+AA37</f>
        <v>1.1679601510687494</v>
      </c>
      <c r="N51">
        <f t="shared" si="48"/>
        <v>-0.86317880538574498</v>
      </c>
      <c r="P51">
        <f t="shared" si="42"/>
        <v>0.15239067284150221</v>
      </c>
      <c r="Q51">
        <f t="shared" si="43"/>
        <v>1.0155694782272471</v>
      </c>
      <c r="S51">
        <f t="shared" si="44"/>
        <v>0.99999015340481545</v>
      </c>
      <c r="T51">
        <f t="shared" si="45"/>
        <v>-0.99999015340481545</v>
      </c>
      <c r="V51" s="4">
        <f t="shared" si="46"/>
        <v>0.99999015340481545</v>
      </c>
      <c r="W51" s="4">
        <f t="shared" si="47"/>
        <v>-0.99999015340481545</v>
      </c>
    </row>
    <row r="52" spans="7:40" x14ac:dyDescent="0.25">
      <c r="G52" s="5">
        <v>0.77716869997370808</v>
      </c>
      <c r="H52" s="5">
        <v>0.34632014602303252</v>
      </c>
      <c r="J52" s="4">
        <v>0.16797677040904971</v>
      </c>
      <c r="K52" s="4">
        <v>0.13680523664915881</v>
      </c>
      <c r="M52">
        <f t="shared" ref="M52:N52" si="49">J52+AA38</f>
        <v>1.1679626855410679</v>
      </c>
      <c r="N52">
        <f t="shared" si="49"/>
        <v>-0.8631806784828594</v>
      </c>
      <c r="P52">
        <f t="shared" si="42"/>
        <v>0.15239100352910423</v>
      </c>
      <c r="Q52">
        <f t="shared" si="43"/>
        <v>1.0155716820119636</v>
      </c>
      <c r="S52">
        <f t="shared" si="44"/>
        <v>0.99999015342618203</v>
      </c>
      <c r="T52">
        <f t="shared" si="45"/>
        <v>-0.99999015342618203</v>
      </c>
      <c r="V52" s="4">
        <f t="shared" si="46"/>
        <v>0.99999015342618203</v>
      </c>
      <c r="W52" s="4">
        <f t="shared" si="47"/>
        <v>-0.99999015342618203</v>
      </c>
    </row>
    <row r="53" spans="7:40" x14ac:dyDescent="0.25">
      <c r="G53" s="5">
        <v>0.59930969856522365</v>
      </c>
      <c r="H53" s="5">
        <v>0.17088717444855528</v>
      </c>
      <c r="J53" s="4">
        <v>0.16797502762210265</v>
      </c>
      <c r="K53" s="4">
        <v>0.13680381727206195</v>
      </c>
      <c r="M53">
        <f t="shared" ref="M53:N53" si="50">J53+AA39</f>
        <v>1.1679505677338371</v>
      </c>
      <c r="N53">
        <f t="shared" si="50"/>
        <v>-0.86317172283967247</v>
      </c>
      <c r="P53">
        <f t="shared" si="42"/>
        <v>0.15238942244708231</v>
      </c>
      <c r="Q53">
        <f t="shared" si="43"/>
        <v>1.0155611452867548</v>
      </c>
      <c r="S53">
        <f t="shared" si="44"/>
        <v>0.99999015332402219</v>
      </c>
      <c r="T53">
        <f t="shared" si="45"/>
        <v>-0.99999015332402219</v>
      </c>
      <c r="V53" s="4">
        <f t="shared" si="46"/>
        <v>0.99999015332402219</v>
      </c>
      <c r="W53" s="4">
        <f t="shared" si="47"/>
        <v>-0.99999015332402219</v>
      </c>
    </row>
    <row r="54" spans="7:40" x14ac:dyDescent="0.25">
      <c r="G54" s="5">
        <v>0.23631445467756496</v>
      </c>
      <c r="H54" s="5">
        <v>0.23441314519764911</v>
      </c>
      <c r="J54" s="4">
        <v>0.9940213608415327</v>
      </c>
      <c r="K54" s="4">
        <v>0.36325599382502016</v>
      </c>
      <c r="M54">
        <f t="shared" ref="M54:N54" si="51">J54+AA40</f>
        <v>-5.9598607440076723E-3</v>
      </c>
      <c r="N54">
        <f t="shared" si="51"/>
        <v>1.3632372154105605</v>
      </c>
      <c r="P54">
        <f t="shared" si="42"/>
        <v>0.67863867733327643</v>
      </c>
      <c r="Q54">
        <f t="shared" si="43"/>
        <v>0.68459853807728399</v>
      </c>
      <c r="S54">
        <f t="shared" si="44"/>
        <v>-0.99998539311235013</v>
      </c>
      <c r="T54">
        <f t="shared" si="45"/>
        <v>0.99998539311235013</v>
      </c>
      <c r="V54" s="4">
        <f t="shared" si="46"/>
        <v>-0.99998539311235013</v>
      </c>
      <c r="W54" s="4">
        <f t="shared" si="47"/>
        <v>0.99998539311235013</v>
      </c>
    </row>
    <row r="55" spans="7:40" x14ac:dyDescent="0.25">
      <c r="J55" s="4">
        <v>0.99401959005337726</v>
      </c>
      <c r="K55" s="4">
        <v>0.36325534670672205</v>
      </c>
      <c r="M55">
        <f t="shared" ref="M55:N55" si="52">J55+AA41</f>
        <v>-5.9598501268803838E-3</v>
      </c>
      <c r="N55">
        <f t="shared" si="52"/>
        <v>1.3632347868869799</v>
      </c>
      <c r="P55">
        <f t="shared" si="42"/>
        <v>0.67863746838004979</v>
      </c>
      <c r="Q55">
        <f t="shared" si="43"/>
        <v>0.68459731850693006</v>
      </c>
      <c r="S55">
        <f t="shared" si="44"/>
        <v>-0.99998539308632917</v>
      </c>
      <c r="T55">
        <f t="shared" si="45"/>
        <v>0.99998539308632906</v>
      </c>
      <c r="V55" s="4">
        <f t="shared" si="46"/>
        <v>-0.99998539308632917</v>
      </c>
      <c r="W55" s="4">
        <f t="shared" si="47"/>
        <v>0.99998539308632906</v>
      </c>
    </row>
    <row r="57" spans="7:40" x14ac:dyDescent="0.25">
      <c r="G57" s="1" t="s">
        <v>101</v>
      </c>
    </row>
    <row r="58" spans="7:40" x14ac:dyDescent="0.25">
      <c r="G58" s="5">
        <v>0.59949881535450866</v>
      </c>
      <c r="H58" s="5">
        <v>0.21683411646955175</v>
      </c>
      <c r="I58" s="5">
        <v>0.24048581741361807</v>
      </c>
      <c r="J58" s="5">
        <v>0.60686421298119941</v>
      </c>
      <c r="K58" s="5">
        <v>0.71361406762689261</v>
      </c>
      <c r="L58" s="5">
        <v>6.5152725007041945E-2</v>
      </c>
      <c r="M58" s="5">
        <v>0.23154675503557431</v>
      </c>
      <c r="N58" s="5">
        <v>0.16436979596806178</v>
      </c>
      <c r="O58" s="5">
        <v>0.57815882729622015</v>
      </c>
      <c r="P58" s="5">
        <v>0.98200367062542693</v>
      </c>
      <c r="Q58" s="5">
        <v>0.4045911827466947</v>
      </c>
      <c r="R58" s="5">
        <v>7.0440427306334485E-2</v>
      </c>
      <c r="S58" s="5">
        <v>0.43236125781589652</v>
      </c>
      <c r="T58" s="5">
        <v>0.29850620964392161</v>
      </c>
      <c r="U58" s="5">
        <v>0.15730908703518665</v>
      </c>
      <c r="V58" s="5">
        <v>0.97798447927555898</v>
      </c>
      <c r="W58" s="5">
        <v>0.19811347281878033</v>
      </c>
      <c r="X58" s="5">
        <v>0.22580690192979092</v>
      </c>
      <c r="Y58" s="5">
        <v>0.75224338446334438</v>
      </c>
      <c r="Z58" s="5">
        <v>0.21618382633071043</v>
      </c>
      <c r="AA58" s="5">
        <v>0.26549207473977054</v>
      </c>
      <c r="AB58" s="5">
        <v>0.9492879254664397</v>
      </c>
      <c r="AC58" s="5">
        <v>2.0042207823118052E-2</v>
      </c>
      <c r="AD58" s="5">
        <v>0.67262312567628579</v>
      </c>
      <c r="AE58" s="5">
        <v>0.22017354970046932</v>
      </c>
      <c r="AF58" s="5">
        <v>0.94985351679248575</v>
      </c>
      <c r="AG58" s="5">
        <v>0.63952741797362</v>
      </c>
      <c r="AH58" s="5">
        <v>1.7165916179533447E-2</v>
      </c>
      <c r="AI58" s="5">
        <v>0.24555265719547104</v>
      </c>
      <c r="AJ58" s="5">
        <v>0.7696111026002338</v>
      </c>
      <c r="AK58" s="5">
        <v>0.35464565982679752</v>
      </c>
      <c r="AL58" s="5">
        <v>0.27401201804418751</v>
      </c>
      <c r="AM58" s="5">
        <v>0.30716116297742346</v>
      </c>
      <c r="AN58" s="5">
        <v>0.37646776215975364</v>
      </c>
    </row>
    <row r="59" spans="7:40" x14ac:dyDescent="0.25">
      <c r="G59" s="5">
        <v>0.85480888320338422</v>
      </c>
      <c r="H59" s="5">
        <v>0.97592533835519668</v>
      </c>
      <c r="I59" s="5">
        <v>0.29100125762748852</v>
      </c>
      <c r="J59" s="5">
        <v>0.19413495091677224</v>
      </c>
      <c r="K59" s="5">
        <v>0.96621337894535364</v>
      </c>
      <c r="L59" s="5">
        <v>0.67009477604520307</v>
      </c>
      <c r="M59" s="5">
        <v>0.34028489945324036</v>
      </c>
      <c r="N59" s="5">
        <v>4.1703771560342773E-2</v>
      </c>
      <c r="O59" s="5">
        <v>4.1940538380320413E-2</v>
      </c>
      <c r="P59" s="5">
        <v>0.52122430456069435</v>
      </c>
      <c r="Q59" s="5">
        <v>0.72796295126768029</v>
      </c>
      <c r="R59" s="5">
        <v>0.59072543145966805</v>
      </c>
      <c r="S59" s="5">
        <v>0.88091153512005016</v>
      </c>
      <c r="T59" s="5">
        <v>0.81438800920277565</v>
      </c>
      <c r="U59" s="5">
        <v>0.21201216117249921</v>
      </c>
      <c r="V59" s="5">
        <v>0.16912061149998281</v>
      </c>
      <c r="W59" s="5">
        <v>1.9917058801560805E-2</v>
      </c>
      <c r="X59" s="5">
        <v>2.2712433142551558E-2</v>
      </c>
      <c r="Y59" s="5">
        <v>7.7216874852922057E-2</v>
      </c>
      <c r="Z59" s="5">
        <v>0.55917159701659003</v>
      </c>
      <c r="AA59" s="5">
        <v>0.70645803909262539</v>
      </c>
      <c r="AB59" s="5">
        <v>0.68397075414643937</v>
      </c>
      <c r="AC59" s="5">
        <v>0.3534174551693845</v>
      </c>
      <c r="AD59" s="5">
        <v>0.88145687336320866</v>
      </c>
      <c r="AE59" s="5">
        <v>0.52052826696086008</v>
      </c>
      <c r="AF59" s="5">
        <v>0.53556248752001545</v>
      </c>
      <c r="AG59" s="5">
        <v>0.70568074473227749</v>
      </c>
      <c r="AH59" s="5">
        <v>0.75244348475587908</v>
      </c>
      <c r="AI59" s="5">
        <v>0.64940381183201157</v>
      </c>
      <c r="AJ59" s="5">
        <v>0.59692902916024004</v>
      </c>
      <c r="AK59" s="5">
        <v>0.83342126382460491</v>
      </c>
      <c r="AL59" s="5">
        <v>0.52651232654269198</v>
      </c>
      <c r="AM59" s="5">
        <v>0.36734180511776082</v>
      </c>
      <c r="AN59" s="5">
        <v>0.18542905883080441</v>
      </c>
    </row>
    <row r="60" spans="7:40" x14ac:dyDescent="0.25">
      <c r="G60" s="1" t="s">
        <v>102</v>
      </c>
    </row>
    <row r="61" spans="7:40" x14ac:dyDescent="0.25">
      <c r="G61" s="4" cm="1">
        <f t="array" ref="G61:AN67">MMULT(Add_and_Norm2, Out_Weights)</f>
        <v>0.25530633858429408</v>
      </c>
      <c r="H61" s="4">
        <v>0.75908013398757768</v>
      </c>
      <c r="I61" s="4">
        <v>5.0514702344644974E-2</v>
      </c>
      <c r="J61" s="4">
        <v>-0.41272323340824568</v>
      </c>
      <c r="K61" s="4">
        <v>0.25259562164937377</v>
      </c>
      <c r="L61" s="4">
        <v>0.6049332147670976</v>
      </c>
      <c r="M61" s="4">
        <v>0.10873655610070676</v>
      </c>
      <c r="N61" s="4">
        <v>-0.12266423264892148</v>
      </c>
      <c r="O61" s="4">
        <v>-0.53621045647948384</v>
      </c>
      <c r="P61" s="4">
        <v>-0.46077263555001313</v>
      </c>
      <c r="Q61" s="4">
        <v>0.32336704509235953</v>
      </c>
      <c r="R61" s="4">
        <v>0.52027740445131399</v>
      </c>
      <c r="S61" s="4">
        <v>0.44854372541735871</v>
      </c>
      <c r="T61" s="4">
        <v>0.51587426417358895</v>
      </c>
      <c r="U61" s="4">
        <v>5.470227510013162E-2</v>
      </c>
      <c r="V61" s="4">
        <v>-0.80885205285813599</v>
      </c>
      <c r="W61" s="4">
        <v>-0.17819381113680463</v>
      </c>
      <c r="X61" s="4">
        <v>-0.20309150222577349</v>
      </c>
      <c r="Y61" s="4">
        <v>-0.67501664962928243</v>
      </c>
      <c r="Z61" s="4">
        <v>0.3429827607301193</v>
      </c>
      <c r="AA61" s="4">
        <v>0.44095952324864635</v>
      </c>
      <c r="AB61" s="4">
        <v>-0.26531329588360186</v>
      </c>
      <c r="AC61" s="4">
        <v>0.33337037779876783</v>
      </c>
      <c r="AD61" s="4">
        <v>0.20883069729292458</v>
      </c>
      <c r="AE61" s="4">
        <v>0.30035033003736278</v>
      </c>
      <c r="AF61" s="4">
        <v>-0.41428497780385853</v>
      </c>
      <c r="AG61" s="4">
        <v>6.6152360469860061E-2</v>
      </c>
      <c r="AH61" s="4">
        <v>0.73526682851968772</v>
      </c>
      <c r="AI61" s="4">
        <v>0.40384525566115004</v>
      </c>
      <c r="AJ61" s="4">
        <v>-0.17267955110648081</v>
      </c>
      <c r="AK61" s="4">
        <v>0.478768610615535</v>
      </c>
      <c r="AL61" s="4">
        <v>0.25249662027553216</v>
      </c>
      <c r="AM61" s="4">
        <v>6.0179763093384298E-2</v>
      </c>
      <c r="AN61" s="4">
        <v>-0.19103591286370825</v>
      </c>
    </row>
    <row r="62" spans="7:40" x14ac:dyDescent="0.25">
      <c r="G62" s="4">
        <v>-0.25530755385360593</v>
      </c>
      <c r="H62" s="4">
        <v>-0.75908374724213745</v>
      </c>
      <c r="I62" s="4">
        <v>-5.0514942796832385E-2</v>
      </c>
      <c r="J62" s="4">
        <v>0.41272519798884566</v>
      </c>
      <c r="K62" s="4">
        <v>-0.25259682401555472</v>
      </c>
      <c r="L62" s="4">
        <v>-0.6049360942755958</v>
      </c>
      <c r="M62" s="4">
        <v>-0.10873707369145852</v>
      </c>
      <c r="N62" s="4">
        <v>0.12266481653602127</v>
      </c>
      <c r="O62" s="4">
        <v>0.53621300886465384</v>
      </c>
      <c r="P62" s="4">
        <v>0.46077482884786369</v>
      </c>
      <c r="Q62" s="4">
        <v>-0.32336858433360421</v>
      </c>
      <c r="R62" s="4">
        <v>-0.52027988099446121</v>
      </c>
      <c r="S62" s="4">
        <v>-0.44854586050506368</v>
      </c>
      <c r="T62" s="4">
        <v>-0.51587671975759619</v>
      </c>
      <c r="U62" s="4">
        <v>-5.4702535485348036E-2</v>
      </c>
      <c r="V62" s="4">
        <v>0.8088559030292013</v>
      </c>
      <c r="W62" s="4">
        <v>0.178194659347121</v>
      </c>
      <c r="X62" s="4">
        <v>0.20309246895018584</v>
      </c>
      <c r="Y62" s="4">
        <v>0.67501986273798864</v>
      </c>
      <c r="Z62" s="4">
        <v>-0.34298439334302622</v>
      </c>
      <c r="AA62" s="4">
        <v>-0.44096162223521806</v>
      </c>
      <c r="AB62" s="4">
        <v>0.26531455878646704</v>
      </c>
      <c r="AC62" s="4">
        <v>-0.33337196465631258</v>
      </c>
      <c r="AD62" s="4">
        <v>-0.20883169133615598</v>
      </c>
      <c r="AE62" s="4">
        <v>-0.3003517597180394</v>
      </c>
      <c r="AF62" s="4">
        <v>0.41428694981842984</v>
      </c>
      <c r="AG62" s="4">
        <v>-6.6152675357982416E-2</v>
      </c>
      <c r="AH62" s="4">
        <v>-0.73527032842187456</v>
      </c>
      <c r="AI62" s="4">
        <v>-0.40384717798218872</v>
      </c>
      <c r="AJ62" s="4">
        <v>0.17268037306867878</v>
      </c>
      <c r="AK62" s="4">
        <v>-0.47877088957501235</v>
      </c>
      <c r="AL62" s="4">
        <v>-0.25249782217046224</v>
      </c>
      <c r="AM62" s="4">
        <v>-6.0180049551682546E-2</v>
      </c>
      <c r="AN62" s="4">
        <v>0.1910368222029892</v>
      </c>
    </row>
    <row r="63" spans="7:40" x14ac:dyDescent="0.25">
      <c r="G63" s="4">
        <v>-0.25530755391399096</v>
      </c>
      <c r="H63" s="4">
        <v>-0.75908374742167495</v>
      </c>
      <c r="I63" s="4">
        <v>-5.0514942808780078E-2</v>
      </c>
      <c r="J63" s="4">
        <v>0.41272519808646274</v>
      </c>
      <c r="K63" s="4">
        <v>-0.2525968240752986</v>
      </c>
      <c r="L63" s="4">
        <v>-0.60493609441867446</v>
      </c>
      <c r="M63" s="4">
        <v>-0.10873707371717684</v>
      </c>
      <c r="N63" s="4">
        <v>0.12266481656503377</v>
      </c>
      <c r="O63" s="4">
        <v>0.53621300899147817</v>
      </c>
      <c r="P63" s="4">
        <v>0.46077482895684552</v>
      </c>
      <c r="Q63" s="4">
        <v>-0.32336858441008687</v>
      </c>
      <c r="R63" s="4">
        <v>-0.52027988111751711</v>
      </c>
      <c r="S63" s="4">
        <v>-0.44854586061115309</v>
      </c>
      <c r="T63" s="4">
        <v>-0.5158767198796107</v>
      </c>
      <c r="U63" s="4">
        <v>-5.4702535498286187E-2</v>
      </c>
      <c r="V63" s="4">
        <v>0.80885590322051082</v>
      </c>
      <c r="W63" s="4">
        <v>0.17819465938926737</v>
      </c>
      <c r="X63" s="4">
        <v>0.20309246899822098</v>
      </c>
      <c r="Y63" s="4">
        <v>0.67501986289764337</v>
      </c>
      <c r="Z63" s="4">
        <v>-0.34298439342414844</v>
      </c>
      <c r="AA63" s="4">
        <v>-0.44096162233951369</v>
      </c>
      <c r="AB63" s="4">
        <v>0.26531455884921884</v>
      </c>
      <c r="AC63" s="4">
        <v>-0.33337196473516129</v>
      </c>
      <c r="AD63" s="4">
        <v>-0.20883169138554858</v>
      </c>
      <c r="AE63" s="4">
        <v>-0.30035175978907813</v>
      </c>
      <c r="AF63" s="4">
        <v>0.41428694991641646</v>
      </c>
      <c r="AG63" s="4">
        <v>-6.6152675373628789E-2</v>
      </c>
      <c r="AH63" s="4">
        <v>-0.73527032859577957</v>
      </c>
      <c r="AI63" s="4">
        <v>-0.40384717807770598</v>
      </c>
      <c r="AJ63" s="4">
        <v>0.17268037310952089</v>
      </c>
      <c r="AK63" s="4">
        <v>-0.47877088968825054</v>
      </c>
      <c r="AL63" s="4">
        <v>-0.25249782223018263</v>
      </c>
      <c r="AM63" s="4">
        <v>-6.0180049565916272E-2</v>
      </c>
      <c r="AN63" s="4">
        <v>0.19103682224817295</v>
      </c>
    </row>
    <row r="64" spans="7:40" x14ac:dyDescent="0.25">
      <c r="G64" s="4">
        <v>-0.25530755391944604</v>
      </c>
      <c r="H64" s="4">
        <v>-0.75908374743789409</v>
      </c>
      <c r="I64" s="4">
        <v>-5.0514942809859409E-2</v>
      </c>
      <c r="J64" s="4">
        <v>0.41272519809528141</v>
      </c>
      <c r="K64" s="4">
        <v>-0.25259682408069573</v>
      </c>
      <c r="L64" s="4">
        <v>-0.60493609443160001</v>
      </c>
      <c r="M64" s="4">
        <v>-0.10873707371950023</v>
      </c>
      <c r="N64" s="4">
        <v>0.12266481656765471</v>
      </c>
      <c r="O64" s="4">
        <v>0.53621300900293545</v>
      </c>
      <c r="P64" s="4">
        <v>0.46077482896669075</v>
      </c>
      <c r="Q64" s="4">
        <v>-0.32336858441699623</v>
      </c>
      <c r="R64" s="4">
        <v>-0.52027988112863377</v>
      </c>
      <c r="S64" s="4">
        <v>-0.44854586062073709</v>
      </c>
      <c r="T64" s="4">
        <v>-0.51587671989063333</v>
      </c>
      <c r="U64" s="4">
        <v>-5.4702535499455002E-2</v>
      </c>
      <c r="V64" s="4">
        <v>0.80885590323779344</v>
      </c>
      <c r="W64" s="4">
        <v>0.17819465939307483</v>
      </c>
      <c r="X64" s="4">
        <v>0.20309246900256042</v>
      </c>
      <c r="Y64" s="4">
        <v>0.67501986291206628</v>
      </c>
      <c r="Z64" s="4">
        <v>-0.34298439343147685</v>
      </c>
      <c r="AA64" s="4">
        <v>-0.4409616223489356</v>
      </c>
      <c r="AB64" s="4">
        <v>0.26531455885488775</v>
      </c>
      <c r="AC64" s="4">
        <v>-0.33337196474228437</v>
      </c>
      <c r="AD64" s="4">
        <v>-0.20883169139001057</v>
      </c>
      <c r="AE64" s="4">
        <v>-0.30035175979549567</v>
      </c>
      <c r="AF64" s="4">
        <v>0.41428694992526849</v>
      </c>
      <c r="AG64" s="4">
        <v>-6.6152675375042325E-2</v>
      </c>
      <c r="AH64" s="4">
        <v>-0.73527032861149</v>
      </c>
      <c r="AI64" s="4">
        <v>-0.40384717808633491</v>
      </c>
      <c r="AJ64" s="4">
        <v>0.17268037311321049</v>
      </c>
      <c r="AK64" s="4">
        <v>-0.47877088969848042</v>
      </c>
      <c r="AL64" s="4">
        <v>-0.25249782223557771</v>
      </c>
      <c r="AM64" s="4">
        <v>-6.0180049567202132E-2</v>
      </c>
      <c r="AN64" s="4">
        <v>0.1910368222522548</v>
      </c>
    </row>
    <row r="65" spans="5:40" x14ac:dyDescent="0.25">
      <c r="G65" s="4">
        <v>-0.25530755389336357</v>
      </c>
      <c r="H65" s="4">
        <v>-0.75908374736034545</v>
      </c>
      <c r="I65" s="4">
        <v>-5.0514942804698787E-2</v>
      </c>
      <c r="J65" s="4">
        <v>0.41272519805311714</v>
      </c>
      <c r="K65" s="4">
        <v>-0.25259682405489026</v>
      </c>
      <c r="L65" s="4">
        <v>-0.60493609436979923</v>
      </c>
      <c r="M65" s="4">
        <v>-0.10873707370839153</v>
      </c>
      <c r="N65" s="4">
        <v>0.12266481655512318</v>
      </c>
      <c r="O65" s="4">
        <v>0.53621300894815538</v>
      </c>
      <c r="P65" s="4">
        <v>0.46077482891961763</v>
      </c>
      <c r="Q65" s="4">
        <v>-0.3233685843839606</v>
      </c>
      <c r="R65" s="4">
        <v>-0.52027988107548151</v>
      </c>
      <c r="S65" s="4">
        <v>-0.44854586057491325</v>
      </c>
      <c r="T65" s="4">
        <v>-0.51587671983793104</v>
      </c>
      <c r="U65" s="4">
        <v>-5.4702535493866555E-2</v>
      </c>
      <c r="V65" s="4">
        <v>0.80885590315516009</v>
      </c>
      <c r="W65" s="4">
        <v>0.17819465937487028</v>
      </c>
      <c r="X65" s="4">
        <v>0.20309246898181232</v>
      </c>
      <c r="Y65" s="4">
        <v>0.67501986284310567</v>
      </c>
      <c r="Z65" s="4">
        <v>-0.34298439339643727</v>
      </c>
      <c r="AA65" s="4">
        <v>-0.44096162230388664</v>
      </c>
      <c r="AB65" s="4">
        <v>0.26531455882778299</v>
      </c>
      <c r="AC65" s="4">
        <v>-0.33337196470822683</v>
      </c>
      <c r="AD65" s="4">
        <v>-0.20883169136867619</v>
      </c>
      <c r="AE65" s="4">
        <v>-0.30035175976481143</v>
      </c>
      <c r="AF65" s="4">
        <v>0.41428694988294457</v>
      </c>
      <c r="AG65" s="4">
        <v>-6.6152675368284064E-2</v>
      </c>
      <c r="AH65" s="4">
        <v>-0.73527032853637408</v>
      </c>
      <c r="AI65" s="4">
        <v>-0.40384717804507764</v>
      </c>
      <c r="AJ65" s="4">
        <v>0.17268037309556938</v>
      </c>
      <c r="AK65" s="4">
        <v>-0.47877088964956871</v>
      </c>
      <c r="AL65" s="4">
        <v>-0.25249782220978234</v>
      </c>
      <c r="AM65" s="4">
        <v>-6.018004956105405E-2</v>
      </c>
      <c r="AN65" s="4">
        <v>0.1910368222327383</v>
      </c>
    </row>
    <row r="66" spans="5:40" x14ac:dyDescent="0.25">
      <c r="G66" s="4">
        <v>0.25530633856339857</v>
      </c>
      <c r="H66" s="4">
        <v>0.75908013392545082</v>
      </c>
      <c r="I66" s="4">
        <v>5.051470234051067E-2</v>
      </c>
      <c r="J66" s="4">
        <v>-0.41272323337446637</v>
      </c>
      <c r="K66" s="4">
        <v>0.2525956216287002</v>
      </c>
      <c r="L66" s="4">
        <v>0.60493321471758699</v>
      </c>
      <c r="M66" s="4">
        <v>0.10873655609180727</v>
      </c>
      <c r="N66" s="4">
        <v>-0.12266423263888204</v>
      </c>
      <c r="O66" s="4">
        <v>-0.53621045643559773</v>
      </c>
      <c r="P66" s="4">
        <v>-0.46077263551230108</v>
      </c>
      <c r="Q66" s="4">
        <v>0.3233670450658937</v>
      </c>
      <c r="R66" s="4">
        <v>0.52027740440873194</v>
      </c>
      <c r="S66" s="4">
        <v>0.44854372538064774</v>
      </c>
      <c r="T66" s="4">
        <v>0.51587426413136728</v>
      </c>
      <c r="U66" s="4">
        <v>5.4702275095654534E-2</v>
      </c>
      <c r="V66" s="4">
        <v>-0.80885205279193562</v>
      </c>
      <c r="W66" s="4">
        <v>-0.17819381112222038</v>
      </c>
      <c r="X66" s="4">
        <v>-0.20309150220915145</v>
      </c>
      <c r="Y66" s="4">
        <v>-0.67501664957403573</v>
      </c>
      <c r="Z66" s="4">
        <v>0.34298276070204792</v>
      </c>
      <c r="AA66" s="4">
        <v>0.4409595232125561</v>
      </c>
      <c r="AB66" s="4">
        <v>-0.26531329586188723</v>
      </c>
      <c r="AC66" s="4">
        <v>0.33337037777148321</v>
      </c>
      <c r="AD66" s="4">
        <v>0.20883069727583292</v>
      </c>
      <c r="AE66" s="4">
        <v>0.30035033001278066</v>
      </c>
      <c r="AF66" s="4">
        <v>-0.41428497776995132</v>
      </c>
      <c r="AG66" s="4">
        <v>6.6152360464445836E-2</v>
      </c>
      <c r="AH66" s="4">
        <v>0.73526682845950997</v>
      </c>
      <c r="AI66" s="4">
        <v>0.40384525562809753</v>
      </c>
      <c r="AJ66" s="4">
        <v>-0.17267955109234789</v>
      </c>
      <c r="AK66" s="4">
        <v>0.47876861057635034</v>
      </c>
      <c r="AL66" s="4">
        <v>0.25249662025486669</v>
      </c>
      <c r="AM66" s="4">
        <v>6.017976308845896E-2</v>
      </c>
      <c r="AN66" s="4">
        <v>-0.19103591284807292</v>
      </c>
    </row>
    <row r="67" spans="5:40" x14ac:dyDescent="0.25">
      <c r="G67" s="4">
        <v>0.25530633855675511</v>
      </c>
      <c r="H67" s="4">
        <v>0.7590801339056984</v>
      </c>
      <c r="I67" s="4">
        <v>5.0514702339196194E-2</v>
      </c>
      <c r="J67" s="4">
        <v>-0.41272323336372679</v>
      </c>
      <c r="K67" s="4">
        <v>0.25259562162212712</v>
      </c>
      <c r="L67" s="4">
        <v>0.60493321470184569</v>
      </c>
      <c r="M67" s="4">
        <v>0.10873655608897781</v>
      </c>
      <c r="N67" s="4">
        <v>-0.12266423263569012</v>
      </c>
      <c r="O67" s="4">
        <v>-0.53621045642164478</v>
      </c>
      <c r="P67" s="4">
        <v>-0.46077263550031122</v>
      </c>
      <c r="Q67" s="4">
        <v>0.32336704505747915</v>
      </c>
      <c r="R67" s="4">
        <v>0.52027740439519365</v>
      </c>
      <c r="S67" s="4">
        <v>0.44854372536897591</v>
      </c>
      <c r="T67" s="4">
        <v>0.51587426411794346</v>
      </c>
      <c r="U67" s="4">
        <v>5.470227509423109E-2</v>
      </c>
      <c r="V67" s="4">
        <v>-0.80885205277088823</v>
      </c>
      <c r="W67" s="4">
        <v>-0.17819381111758353</v>
      </c>
      <c r="X67" s="4">
        <v>-0.20309150220386674</v>
      </c>
      <c r="Y67" s="4">
        <v>-0.67501664955647089</v>
      </c>
      <c r="Z67" s="4">
        <v>0.34298276069312295</v>
      </c>
      <c r="AA67" s="4">
        <v>0.44095952320108162</v>
      </c>
      <c r="AB67" s="4">
        <v>-0.26531329585498353</v>
      </c>
      <c r="AC67" s="4">
        <v>0.33337037776280842</v>
      </c>
      <c r="AD67" s="4">
        <v>0.20883069727039882</v>
      </c>
      <c r="AE67" s="4">
        <v>0.30035033000496503</v>
      </c>
      <c r="AF67" s="4">
        <v>-0.41428497775917117</v>
      </c>
      <c r="AG67" s="4">
        <v>6.6152360462724324E-2</v>
      </c>
      <c r="AH67" s="4">
        <v>0.73526682844037727</v>
      </c>
      <c r="AI67" s="4">
        <v>0.40384525561758877</v>
      </c>
      <c r="AJ67" s="4">
        <v>-0.1726795510878546</v>
      </c>
      <c r="AK67" s="4">
        <v>0.47876861056389197</v>
      </c>
      <c r="AL67" s="4">
        <v>0.25249662024829628</v>
      </c>
      <c r="AM67" s="4">
        <v>6.0179763086892935E-2</v>
      </c>
      <c r="AN67" s="4">
        <v>-0.19103591284310192</v>
      </c>
    </row>
    <row r="69" spans="5:40" x14ac:dyDescent="0.25">
      <c r="E69">
        <f>SUM(G69:AN69)</f>
        <v>40.095840758919465</v>
      </c>
      <c r="G69">
        <f>EXP(G61)</f>
        <v>1.2908569996157042</v>
      </c>
      <c r="H69">
        <f t="shared" ref="H69:AN69" si="53">EXP(H61)</f>
        <v>2.1363101972540228</v>
      </c>
      <c r="I69">
        <f t="shared" si="53"/>
        <v>1.051812327348663</v>
      </c>
      <c r="J69">
        <f t="shared" si="53"/>
        <v>0.66184543418667863</v>
      </c>
      <c r="K69">
        <f t="shared" si="53"/>
        <v>1.2873625900036811</v>
      </c>
      <c r="L69">
        <f t="shared" si="53"/>
        <v>1.8311299123643461</v>
      </c>
      <c r="M69">
        <f t="shared" si="53"/>
        <v>1.1148686063177633</v>
      </c>
      <c r="N69">
        <f t="shared" si="53"/>
        <v>0.88456061927984941</v>
      </c>
      <c r="O69">
        <f t="shared" si="53"/>
        <v>0.58496079184738869</v>
      </c>
      <c r="P69">
        <f t="shared" si="53"/>
        <v>0.63079608169908574</v>
      </c>
      <c r="Q69">
        <f t="shared" si="53"/>
        <v>1.3817724306287953</v>
      </c>
      <c r="R69">
        <f t="shared" si="53"/>
        <v>1.6824943163808608</v>
      </c>
      <c r="S69">
        <f t="shared" si="53"/>
        <v>1.5660299544976199</v>
      </c>
      <c r="T69">
        <f t="shared" si="53"/>
        <v>1.6751023437782508</v>
      </c>
      <c r="U69">
        <f t="shared" si="53"/>
        <v>1.0562261030480777</v>
      </c>
      <c r="V69">
        <f t="shared" si="53"/>
        <v>0.44536903299390712</v>
      </c>
      <c r="W69">
        <f t="shared" si="53"/>
        <v>0.83678023044414862</v>
      </c>
      <c r="X69">
        <f t="shared" si="53"/>
        <v>0.81620355356677377</v>
      </c>
      <c r="Y69">
        <f t="shared" si="53"/>
        <v>0.50914794341247049</v>
      </c>
      <c r="Z69">
        <f t="shared" si="53"/>
        <v>1.4091444690952524</v>
      </c>
      <c r="AA69">
        <f t="shared" si="53"/>
        <v>1.5541977921915262</v>
      </c>
      <c r="AB69">
        <f t="shared" si="53"/>
        <v>0.76696562515820721</v>
      </c>
      <c r="AC69">
        <f t="shared" si="53"/>
        <v>1.3956641257599365</v>
      </c>
      <c r="AD69">
        <f t="shared" si="53"/>
        <v>1.2322363599177215</v>
      </c>
      <c r="AE69">
        <f t="shared" si="53"/>
        <v>1.3503317865070215</v>
      </c>
      <c r="AF69">
        <f t="shared" si="53"/>
        <v>0.66081260750464266</v>
      </c>
      <c r="AG69">
        <f t="shared" si="53"/>
        <v>1.0683894850899216</v>
      </c>
      <c r="AH69">
        <f t="shared" si="53"/>
        <v>2.0860385328250364</v>
      </c>
      <c r="AI69">
        <f t="shared" si="53"/>
        <v>1.4975721882087796</v>
      </c>
      <c r="AJ69">
        <f t="shared" si="53"/>
        <v>0.84140719965436761</v>
      </c>
      <c r="AK69">
        <f t="shared" si="53"/>
        <v>1.6140856100695855</v>
      </c>
      <c r="AL69">
        <f t="shared" si="53"/>
        <v>1.2872351456473257</v>
      </c>
      <c r="AM69">
        <f t="shared" si="53"/>
        <v>1.062027442725165</v>
      </c>
      <c r="AN69">
        <f t="shared" si="53"/>
        <v>0.82610291989688978</v>
      </c>
    </row>
    <row r="70" spans="5:40" x14ac:dyDescent="0.25">
      <c r="E70">
        <f t="shared" ref="E70:E75" si="54">SUM(G70:AN70)</f>
        <v>33.738531184744431</v>
      </c>
      <c r="G70">
        <f t="shared" ref="G70:AN70" si="55">EXP(G62)</f>
        <v>0.77467820605158599</v>
      </c>
      <c r="H70">
        <f t="shared" si="55"/>
        <v>0.46809512403083903</v>
      </c>
      <c r="I70">
        <f t="shared" si="55"/>
        <v>0.95073972185567823</v>
      </c>
      <c r="J70">
        <f t="shared" si="55"/>
        <v>1.5109297623415674</v>
      </c>
      <c r="K70">
        <f t="shared" si="55"/>
        <v>0.77678099814263091</v>
      </c>
      <c r="L70">
        <f t="shared" si="55"/>
        <v>0.54610932503661425</v>
      </c>
      <c r="M70">
        <f t="shared" si="55"/>
        <v>0.89696622251497793</v>
      </c>
      <c r="N70">
        <f t="shared" si="55"/>
        <v>1.1305054307090951</v>
      </c>
      <c r="O70">
        <f t="shared" si="55"/>
        <v>1.7095206487776355</v>
      </c>
      <c r="P70">
        <f t="shared" si="55"/>
        <v>1.5853018468451676</v>
      </c>
      <c r="Q70">
        <f t="shared" si="55"/>
        <v>0.72370705811873559</v>
      </c>
      <c r="R70">
        <f t="shared" si="55"/>
        <v>0.59435417625122788</v>
      </c>
      <c r="S70">
        <f t="shared" si="55"/>
        <v>0.63855602636628506</v>
      </c>
      <c r="T70">
        <f t="shared" si="55"/>
        <v>0.59697698360535922</v>
      </c>
      <c r="U70">
        <f t="shared" si="55"/>
        <v>0.94676673557773172</v>
      </c>
      <c r="V70">
        <f t="shared" si="55"/>
        <v>2.2453376326058074</v>
      </c>
      <c r="W70">
        <f t="shared" si="55"/>
        <v>1.1950579277905415</v>
      </c>
      <c r="X70">
        <f t="shared" si="55"/>
        <v>1.2251857546501963</v>
      </c>
      <c r="Y70">
        <f t="shared" si="55"/>
        <v>1.9640719874296859</v>
      </c>
      <c r="Z70">
        <f t="shared" si="55"/>
        <v>0.70964928672677485</v>
      </c>
      <c r="AA70">
        <f t="shared" si="55"/>
        <v>0.64341739902072892</v>
      </c>
      <c r="AB70">
        <f t="shared" si="55"/>
        <v>1.3038410459365575</v>
      </c>
      <c r="AC70">
        <f t="shared" si="55"/>
        <v>0.716503630555967</v>
      </c>
      <c r="AD70">
        <f t="shared" si="55"/>
        <v>0.81153181198454027</v>
      </c>
      <c r="AE70">
        <f t="shared" si="55"/>
        <v>0.74055767650045279</v>
      </c>
      <c r="AF70">
        <f t="shared" si="55"/>
        <v>1.5132913032527002</v>
      </c>
      <c r="AG70">
        <f t="shared" si="55"/>
        <v>0.93598795108673472</v>
      </c>
      <c r="AH70">
        <f t="shared" si="55"/>
        <v>0.47937585253982995</v>
      </c>
      <c r="AI70">
        <f t="shared" si="55"/>
        <v>0.6677461597873886</v>
      </c>
      <c r="AJ70">
        <f t="shared" si="55"/>
        <v>1.1884861721807409</v>
      </c>
      <c r="AK70">
        <f t="shared" si="55"/>
        <v>0.61954441251725689</v>
      </c>
      <c r="AL70">
        <f t="shared" si="55"/>
        <v>0.77685790470156257</v>
      </c>
      <c r="AM70">
        <f t="shared" si="55"/>
        <v>0.94159498456625668</v>
      </c>
      <c r="AN70">
        <f t="shared" si="55"/>
        <v>1.21050402468558</v>
      </c>
    </row>
    <row r="71" spans="5:40" x14ac:dyDescent="0.25">
      <c r="E71">
        <f t="shared" si="54"/>
        <v>33.738531185363279</v>
      </c>
      <c r="G71">
        <f t="shared" ref="G71:AN71" si="56">EXP(G63)</f>
        <v>0.77467820600480708</v>
      </c>
      <c r="H71">
        <f t="shared" si="56"/>
        <v>0.46809512394679842</v>
      </c>
      <c r="I71">
        <f t="shared" si="56"/>
        <v>0.9507397218443191</v>
      </c>
      <c r="J71">
        <f t="shared" si="56"/>
        <v>1.5109297624890599</v>
      </c>
      <c r="K71">
        <f t="shared" si="56"/>
        <v>0.77678099809622292</v>
      </c>
      <c r="L71">
        <f t="shared" si="56"/>
        <v>0.54610932495847764</v>
      </c>
      <c r="M71">
        <f t="shared" si="56"/>
        <v>0.89696622249190949</v>
      </c>
      <c r="N71">
        <f t="shared" si="56"/>
        <v>1.130505430741894</v>
      </c>
      <c r="O71">
        <f t="shared" si="56"/>
        <v>1.7095206489944443</v>
      </c>
      <c r="P71">
        <f t="shared" si="56"/>
        <v>1.5853018470179365</v>
      </c>
      <c r="Q71">
        <f t="shared" si="56"/>
        <v>0.72370705806338453</v>
      </c>
      <c r="R71">
        <f t="shared" si="56"/>
        <v>0.59435417617808917</v>
      </c>
      <c r="S71">
        <f t="shared" si="56"/>
        <v>0.63855602629854091</v>
      </c>
      <c r="T71">
        <f t="shared" si="56"/>
        <v>0.59697698353251938</v>
      </c>
      <c r="U71">
        <f t="shared" si="56"/>
        <v>0.94676673556548241</v>
      </c>
      <c r="V71">
        <f t="shared" si="56"/>
        <v>2.245337633035362</v>
      </c>
      <c r="W71">
        <f t="shared" si="56"/>
        <v>1.195057927840909</v>
      </c>
      <c r="X71">
        <f t="shared" si="56"/>
        <v>1.2251857547090481</v>
      </c>
      <c r="Y71">
        <f t="shared" si="56"/>
        <v>1.9640719877432593</v>
      </c>
      <c r="Z71">
        <f t="shared" si="56"/>
        <v>0.70964928666920657</v>
      </c>
      <c r="AA71">
        <f t="shared" si="56"/>
        <v>0.64341739895362327</v>
      </c>
      <c r="AB71">
        <f t="shared" si="56"/>
        <v>1.303841046018376</v>
      </c>
      <c r="AC71">
        <f t="shared" si="56"/>
        <v>0.71650363049947163</v>
      </c>
      <c r="AD71">
        <f t="shared" si="56"/>
        <v>0.81153181194445667</v>
      </c>
      <c r="AE71">
        <f t="shared" si="56"/>
        <v>0.74055767644784454</v>
      </c>
      <c r="AF71">
        <f t="shared" si="56"/>
        <v>1.5132913034009825</v>
      </c>
      <c r="AG71">
        <f t="shared" si="56"/>
        <v>0.93598795107208987</v>
      </c>
      <c r="AH71">
        <f t="shared" si="56"/>
        <v>0.47937585245646414</v>
      </c>
      <c r="AI71">
        <f t="shared" si="56"/>
        <v>0.66774615972360729</v>
      </c>
      <c r="AJ71">
        <f t="shared" si="56"/>
        <v>1.1884861722292812</v>
      </c>
      <c r="AK71">
        <f t="shared" si="56"/>
        <v>0.61954441244710079</v>
      </c>
      <c r="AL71">
        <f t="shared" si="56"/>
        <v>0.77685790465516835</v>
      </c>
      <c r="AM71">
        <f t="shared" si="56"/>
        <v>0.94159498455285429</v>
      </c>
      <c r="AN71">
        <f t="shared" si="56"/>
        <v>1.2105040247402752</v>
      </c>
    </row>
    <row r="72" spans="5:40" x14ac:dyDescent="0.25">
      <c r="E72">
        <f t="shared" si="54"/>
        <v>33.738531185419177</v>
      </c>
      <c r="G72">
        <f t="shared" ref="G72:AN72" si="57">EXP(G64)</f>
        <v>0.77467820600058113</v>
      </c>
      <c r="H72">
        <f t="shared" si="57"/>
        <v>0.46809512393920633</v>
      </c>
      <c r="I72">
        <f t="shared" si="57"/>
        <v>0.95073972184329292</v>
      </c>
      <c r="J72">
        <f t="shared" si="57"/>
        <v>1.5109297625023843</v>
      </c>
      <c r="K72">
        <f t="shared" si="57"/>
        <v>0.77678099809203061</v>
      </c>
      <c r="L72">
        <f t="shared" si="57"/>
        <v>0.54610932495141884</v>
      </c>
      <c r="M72">
        <f t="shared" si="57"/>
        <v>0.89696622248982549</v>
      </c>
      <c r="N72">
        <f t="shared" si="57"/>
        <v>1.130505430744857</v>
      </c>
      <c r="O72">
        <f t="shared" si="57"/>
        <v>1.7095206490140309</v>
      </c>
      <c r="P72">
        <f t="shared" si="57"/>
        <v>1.5853018470335443</v>
      </c>
      <c r="Q72">
        <f t="shared" si="57"/>
        <v>0.7237070580583842</v>
      </c>
      <c r="R72">
        <f t="shared" si="57"/>
        <v>0.5943541761714819</v>
      </c>
      <c r="S72">
        <f t="shared" si="57"/>
        <v>0.63855602629242103</v>
      </c>
      <c r="T72">
        <f t="shared" si="57"/>
        <v>0.5969769835259392</v>
      </c>
      <c r="U72">
        <f t="shared" si="57"/>
        <v>0.94676673556437574</v>
      </c>
      <c r="V72">
        <f t="shared" si="57"/>
        <v>2.2453376330741674</v>
      </c>
      <c r="W72">
        <f t="shared" si="57"/>
        <v>1.1950579278454592</v>
      </c>
      <c r="X72">
        <f t="shared" si="57"/>
        <v>1.2251857547143647</v>
      </c>
      <c r="Y72">
        <f t="shared" si="57"/>
        <v>1.9640719877715869</v>
      </c>
      <c r="Z72">
        <f t="shared" si="57"/>
        <v>0.70964928666400595</v>
      </c>
      <c r="AA72">
        <f t="shared" si="57"/>
        <v>0.64341739894756111</v>
      </c>
      <c r="AB72">
        <f t="shared" si="57"/>
        <v>1.3038410460257672</v>
      </c>
      <c r="AC72">
        <f t="shared" si="57"/>
        <v>0.71650363049436794</v>
      </c>
      <c r="AD72">
        <f t="shared" si="57"/>
        <v>0.81153181194083557</v>
      </c>
      <c r="AE72">
        <f t="shared" si="57"/>
        <v>0.74055767644309201</v>
      </c>
      <c r="AF72">
        <f t="shared" si="57"/>
        <v>1.5132913034143782</v>
      </c>
      <c r="AG72">
        <f t="shared" si="57"/>
        <v>0.93598795107076682</v>
      </c>
      <c r="AH72">
        <f t="shared" si="57"/>
        <v>0.47937585244893294</v>
      </c>
      <c r="AI72">
        <f t="shared" si="57"/>
        <v>0.66774615971784534</v>
      </c>
      <c r="AJ72">
        <f t="shared" si="57"/>
        <v>1.1884861722336661</v>
      </c>
      <c r="AK72">
        <f t="shared" si="57"/>
        <v>0.61954441244076297</v>
      </c>
      <c r="AL72">
        <f t="shared" si="57"/>
        <v>0.77685790465097715</v>
      </c>
      <c r="AM72">
        <f t="shared" si="57"/>
        <v>0.94159498455164359</v>
      </c>
      <c r="AN72">
        <f t="shared" si="57"/>
        <v>1.2105040247452161</v>
      </c>
    </row>
    <row r="73" spans="5:40" x14ac:dyDescent="0.25">
      <c r="E73">
        <f t="shared" si="54"/>
        <v>33.738531185151871</v>
      </c>
      <c r="G73">
        <f t="shared" ref="G73:AN73" si="58">EXP(G65)</f>
        <v>0.77467820602078663</v>
      </c>
      <c r="H73">
        <f t="shared" si="58"/>
        <v>0.46809512397550646</v>
      </c>
      <c r="I73">
        <f t="shared" si="58"/>
        <v>0.95073972184819933</v>
      </c>
      <c r="J73">
        <f t="shared" si="58"/>
        <v>1.510929762438677</v>
      </c>
      <c r="K73">
        <f t="shared" si="58"/>
        <v>0.77678099811207579</v>
      </c>
      <c r="L73">
        <f t="shared" si="58"/>
        <v>0.54610932498516884</v>
      </c>
      <c r="M73">
        <f t="shared" si="58"/>
        <v>0.89696622249978963</v>
      </c>
      <c r="N73">
        <f t="shared" si="58"/>
        <v>1.1305054307306901</v>
      </c>
      <c r="O73">
        <f t="shared" si="58"/>
        <v>1.7095206489203831</v>
      </c>
      <c r="P73">
        <f t="shared" si="58"/>
        <v>1.5853018469589193</v>
      </c>
      <c r="Q73">
        <f t="shared" si="58"/>
        <v>0.7237070580822923</v>
      </c>
      <c r="R73">
        <f t="shared" si="58"/>
        <v>0.59435417620307318</v>
      </c>
      <c r="S73">
        <f t="shared" si="58"/>
        <v>0.63855602632168218</v>
      </c>
      <c r="T73">
        <f t="shared" si="58"/>
        <v>0.59697698355740125</v>
      </c>
      <c r="U73">
        <f t="shared" si="58"/>
        <v>0.94676673556966673</v>
      </c>
      <c r="V73">
        <f t="shared" si="58"/>
        <v>2.2453376328886274</v>
      </c>
      <c r="W73">
        <f t="shared" si="58"/>
        <v>1.1950579278237037</v>
      </c>
      <c r="X73">
        <f t="shared" si="58"/>
        <v>1.2251857546889446</v>
      </c>
      <c r="Y73">
        <f t="shared" si="58"/>
        <v>1.9640719876361432</v>
      </c>
      <c r="Z73">
        <f t="shared" si="58"/>
        <v>0.70964928668887173</v>
      </c>
      <c r="AA73">
        <f t="shared" si="58"/>
        <v>0.64341739897654637</v>
      </c>
      <c r="AB73">
        <f t="shared" si="58"/>
        <v>1.303841045990427</v>
      </c>
      <c r="AC73">
        <f t="shared" si="58"/>
        <v>0.71650363051877031</v>
      </c>
      <c r="AD73">
        <f t="shared" si="58"/>
        <v>0.81153181195814916</v>
      </c>
      <c r="AE73">
        <f t="shared" si="58"/>
        <v>0.74055767646581538</v>
      </c>
      <c r="AF73">
        <f t="shared" si="58"/>
        <v>1.5132913033503297</v>
      </c>
      <c r="AG73">
        <f t="shared" si="58"/>
        <v>0.93598795107709243</v>
      </c>
      <c r="AH73">
        <f t="shared" si="58"/>
        <v>0.47937585248494169</v>
      </c>
      <c r="AI73">
        <f t="shared" si="58"/>
        <v>0.66774615974539475</v>
      </c>
      <c r="AJ73">
        <f t="shared" si="58"/>
        <v>1.1884861722127</v>
      </c>
      <c r="AK73">
        <f t="shared" si="58"/>
        <v>0.61954441247106595</v>
      </c>
      <c r="AL73">
        <f t="shared" si="58"/>
        <v>0.77685790467101645</v>
      </c>
      <c r="AM73">
        <f t="shared" si="58"/>
        <v>0.94159498455743251</v>
      </c>
      <c r="AN73">
        <f t="shared" si="58"/>
        <v>1.2105040247215915</v>
      </c>
    </row>
    <row r="74" spans="5:40" x14ac:dyDescent="0.25">
      <c r="E74">
        <f t="shared" si="54"/>
        <v>40.095840758151148</v>
      </c>
      <c r="G74">
        <f t="shared" ref="G74:AN74" si="59">EXP(G66)</f>
        <v>1.2908569995887311</v>
      </c>
      <c r="H74">
        <f t="shared" si="59"/>
        <v>2.1363101971213005</v>
      </c>
      <c r="I74">
        <f t="shared" si="59"/>
        <v>1.0518123273443145</v>
      </c>
      <c r="J74">
        <f t="shared" si="59"/>
        <v>0.6618454342090353</v>
      </c>
      <c r="K74">
        <f t="shared" si="59"/>
        <v>1.2873625899770667</v>
      </c>
      <c r="L74">
        <f t="shared" si="59"/>
        <v>1.8311299122736857</v>
      </c>
      <c r="M74">
        <f t="shared" si="59"/>
        <v>1.1148686063078415</v>
      </c>
      <c r="N74">
        <f t="shared" si="59"/>
        <v>0.88456061928872998</v>
      </c>
      <c r="O74">
        <f t="shared" si="59"/>
        <v>0.58496079187306027</v>
      </c>
      <c r="P74">
        <f t="shared" si="59"/>
        <v>0.63079608172287438</v>
      </c>
      <c r="Q74">
        <f t="shared" si="59"/>
        <v>1.3817724305922254</v>
      </c>
      <c r="R74">
        <f t="shared" si="59"/>
        <v>1.6824943163092168</v>
      </c>
      <c r="S74">
        <f t="shared" si="59"/>
        <v>1.5660299544401295</v>
      </c>
      <c r="T74">
        <f t="shared" si="59"/>
        <v>1.6751023437075252</v>
      </c>
      <c r="U74">
        <f t="shared" si="59"/>
        <v>1.0562261030433489</v>
      </c>
      <c r="V74">
        <f t="shared" si="59"/>
        <v>0.44536903302339076</v>
      </c>
      <c r="W74">
        <f t="shared" si="59"/>
        <v>0.83678023045635241</v>
      </c>
      <c r="X74">
        <f t="shared" si="59"/>
        <v>0.8162035535803408</v>
      </c>
      <c r="Y74">
        <f t="shared" si="59"/>
        <v>0.50914794344059933</v>
      </c>
      <c r="Z74">
        <f t="shared" si="59"/>
        <v>1.4091444690556958</v>
      </c>
      <c r="AA74">
        <f t="shared" si="59"/>
        <v>1.5541977921354349</v>
      </c>
      <c r="AB74">
        <f t="shared" si="59"/>
        <v>0.76696562517486155</v>
      </c>
      <c r="AC74">
        <f t="shared" si="59"/>
        <v>1.3956641257218565</v>
      </c>
      <c r="AD74">
        <f t="shared" si="59"/>
        <v>1.2322363598966606</v>
      </c>
      <c r="AE74">
        <f t="shared" si="59"/>
        <v>1.3503317864738276</v>
      </c>
      <c r="AF74">
        <f t="shared" si="59"/>
        <v>0.66081260752704896</v>
      </c>
      <c r="AG74">
        <f t="shared" si="59"/>
        <v>1.0683894850841371</v>
      </c>
      <c r="AH74">
        <f t="shared" si="59"/>
        <v>2.086038532699503</v>
      </c>
      <c r="AI74">
        <f t="shared" si="59"/>
        <v>1.4975721881592812</v>
      </c>
      <c r="AJ74">
        <f t="shared" si="59"/>
        <v>0.8414071996662591</v>
      </c>
      <c r="AK74">
        <f t="shared" si="59"/>
        <v>1.6140856100063381</v>
      </c>
      <c r="AL74">
        <f t="shared" si="59"/>
        <v>1.2872351456207245</v>
      </c>
      <c r="AM74">
        <f t="shared" si="59"/>
        <v>1.0620274427199341</v>
      </c>
      <c r="AN74">
        <f t="shared" si="59"/>
        <v>0.82610291990980622</v>
      </c>
    </row>
    <row r="75" spans="5:40" x14ac:dyDescent="0.25">
      <c r="E75">
        <f t="shared" si="54"/>
        <v>40.095840757906849</v>
      </c>
      <c r="G75">
        <f t="shared" ref="G75:AN75" si="60">EXP(G67)</f>
        <v>1.2908569995801553</v>
      </c>
      <c r="H75">
        <f t="shared" si="60"/>
        <v>2.1363101970791032</v>
      </c>
      <c r="I75">
        <f t="shared" si="60"/>
        <v>1.0518123273429321</v>
      </c>
      <c r="J75">
        <f t="shared" si="60"/>
        <v>0.66184543421614317</v>
      </c>
      <c r="K75">
        <f t="shared" si="60"/>
        <v>1.2873625899686048</v>
      </c>
      <c r="L75">
        <f t="shared" si="60"/>
        <v>1.8311299122448614</v>
      </c>
      <c r="M75">
        <f t="shared" si="60"/>
        <v>1.1148686063046871</v>
      </c>
      <c r="N75">
        <f t="shared" si="60"/>
        <v>0.88456061929155338</v>
      </c>
      <c r="O75">
        <f t="shared" si="60"/>
        <v>0.5849607918812223</v>
      </c>
      <c r="P75">
        <f t="shared" si="60"/>
        <v>0.63079608173043755</v>
      </c>
      <c r="Q75">
        <f t="shared" si="60"/>
        <v>1.3817724305805985</v>
      </c>
      <c r="R75">
        <f t="shared" si="60"/>
        <v>1.6824943162864388</v>
      </c>
      <c r="S75">
        <f t="shared" si="60"/>
        <v>1.566029954421851</v>
      </c>
      <c r="T75">
        <f t="shared" si="60"/>
        <v>1.675102343685039</v>
      </c>
      <c r="U75">
        <f t="shared" si="60"/>
        <v>1.0562261030418454</v>
      </c>
      <c r="V75">
        <f t="shared" si="60"/>
        <v>0.44536903303276459</v>
      </c>
      <c r="W75">
        <f t="shared" si="60"/>
        <v>0.83678023046023242</v>
      </c>
      <c r="X75">
        <f t="shared" si="60"/>
        <v>0.81620355358465413</v>
      </c>
      <c r="Y75">
        <f t="shared" si="60"/>
        <v>0.5091479434495424</v>
      </c>
      <c r="Z75">
        <f t="shared" si="60"/>
        <v>1.4091444690431192</v>
      </c>
      <c r="AA75">
        <f t="shared" si="60"/>
        <v>1.5541977921176013</v>
      </c>
      <c r="AB75">
        <f t="shared" si="60"/>
        <v>0.76696562518015643</v>
      </c>
      <c r="AC75">
        <f t="shared" si="60"/>
        <v>1.3956641257097493</v>
      </c>
      <c r="AD75">
        <f t="shared" si="60"/>
        <v>1.2322363598899644</v>
      </c>
      <c r="AE75">
        <f t="shared" si="60"/>
        <v>1.3503317864632738</v>
      </c>
      <c r="AF75">
        <f t="shared" si="60"/>
        <v>0.6608126075341727</v>
      </c>
      <c r="AG75">
        <f t="shared" si="60"/>
        <v>1.0683894850822979</v>
      </c>
      <c r="AH75">
        <f t="shared" si="60"/>
        <v>2.0860385326595914</v>
      </c>
      <c r="AI75">
        <f t="shared" si="60"/>
        <v>1.4975721881435435</v>
      </c>
      <c r="AJ75">
        <f t="shared" si="60"/>
        <v>0.84140719967003985</v>
      </c>
      <c r="AK75">
        <f t="shared" si="60"/>
        <v>1.6140856099862291</v>
      </c>
      <c r="AL75">
        <f t="shared" si="60"/>
        <v>1.2872351456122668</v>
      </c>
      <c r="AM75">
        <f t="shared" si="60"/>
        <v>1.062027442718271</v>
      </c>
      <c r="AN75">
        <f t="shared" si="60"/>
        <v>0.82610291991391271</v>
      </c>
    </row>
    <row r="76" spans="5:40" x14ac:dyDescent="0.25">
      <c r="G76" s="1" t="s">
        <v>103</v>
      </c>
    </row>
    <row r="77" spans="5:40" x14ac:dyDescent="0.25">
      <c r="E77">
        <f>SUM(G77:AN77)</f>
        <v>1</v>
      </c>
      <c r="G77" s="4">
        <f>G69/$E69</f>
        <v>3.2194286868234542E-2</v>
      </c>
      <c r="H77" s="4">
        <f t="shared" ref="H77:AN77" si="61">H69/$E69</f>
        <v>5.3280094813295389E-2</v>
      </c>
      <c r="I77" s="4">
        <f t="shared" si="61"/>
        <v>2.623245472448869E-2</v>
      </c>
      <c r="J77" s="4">
        <f t="shared" si="61"/>
        <v>1.650658576200198E-2</v>
      </c>
      <c r="K77" s="4">
        <f t="shared" si="61"/>
        <v>3.2107135444398999E-2</v>
      </c>
      <c r="L77" s="4">
        <f t="shared" si="61"/>
        <v>4.5668824439278145E-2</v>
      </c>
      <c r="M77" s="4">
        <f t="shared" si="61"/>
        <v>2.7805093626070348E-2</v>
      </c>
      <c r="N77" s="4">
        <f t="shared" si="61"/>
        <v>2.2061156532378629E-2</v>
      </c>
      <c r="O77" s="4">
        <f t="shared" si="61"/>
        <v>1.4589064121750884E-2</v>
      </c>
      <c r="P77" s="4">
        <f t="shared" si="61"/>
        <v>1.5732207375119399E-2</v>
      </c>
      <c r="Q77" s="4">
        <f t="shared" si="61"/>
        <v>3.4461739783356829E-2</v>
      </c>
      <c r="R77" s="4">
        <f t="shared" si="61"/>
        <v>4.1961816600805009E-2</v>
      </c>
      <c r="S77" s="4">
        <f t="shared" si="61"/>
        <v>3.9057167148920574E-2</v>
      </c>
      <c r="T77" s="4">
        <f t="shared" si="61"/>
        <v>4.1777459010025081E-2</v>
      </c>
      <c r="U77" s="4">
        <f t="shared" si="61"/>
        <v>2.6342535361678791E-2</v>
      </c>
      <c r="V77" s="4">
        <f t="shared" si="61"/>
        <v>1.1107611776287125E-2</v>
      </c>
      <c r="W77" s="4">
        <f t="shared" si="61"/>
        <v>2.0869502038263255E-2</v>
      </c>
      <c r="X77" s="4">
        <f t="shared" si="61"/>
        <v>2.0356314722873251E-2</v>
      </c>
      <c r="Y77" s="4">
        <f t="shared" si="61"/>
        <v>1.2698273281604867E-2</v>
      </c>
      <c r="Z77" s="4">
        <f t="shared" si="61"/>
        <v>3.5144405066048733E-2</v>
      </c>
      <c r="AA77" s="4">
        <f t="shared" si="61"/>
        <v>3.8762070149278245E-2</v>
      </c>
      <c r="AB77" s="4">
        <f t="shared" si="61"/>
        <v>1.9128308838058047E-2</v>
      </c>
      <c r="AC77" s="4">
        <f t="shared" si="61"/>
        <v>3.4808202031515349E-2</v>
      </c>
      <c r="AD77" s="4">
        <f t="shared" si="61"/>
        <v>3.0732273886627658E-2</v>
      </c>
      <c r="AE77" s="4">
        <f t="shared" si="61"/>
        <v>3.367760248814923E-2</v>
      </c>
      <c r="AF77" s="4">
        <f t="shared" si="61"/>
        <v>1.6480826813879506E-2</v>
      </c>
      <c r="AG77" s="4">
        <f t="shared" si="61"/>
        <v>2.6645893061919508E-2</v>
      </c>
      <c r="AH77" s="4">
        <f t="shared" si="61"/>
        <v>5.2026307301237709E-2</v>
      </c>
      <c r="AI77" s="4">
        <f t="shared" si="61"/>
        <v>3.7349813842615064E-2</v>
      </c>
      <c r="AJ77" s="4">
        <f t="shared" si="61"/>
        <v>2.0984899773356006E-2</v>
      </c>
      <c r="AK77" s="4">
        <f t="shared" si="61"/>
        <v>4.0255686862247085E-2</v>
      </c>
      <c r="AL77" s="4">
        <f t="shared" si="61"/>
        <v>3.2103956951220071E-2</v>
      </c>
      <c r="AM77" s="4">
        <f t="shared" si="61"/>
        <v>2.6487222181241159E-2</v>
      </c>
      <c r="AN77" s="4">
        <f t="shared" si="61"/>
        <v>2.0603207321774893E-2</v>
      </c>
    </row>
    <row r="78" spans="5:40" x14ac:dyDescent="0.25">
      <c r="E78">
        <f t="shared" ref="E78:E83" si="62">SUM(G78:AN78)</f>
        <v>1</v>
      </c>
      <c r="G78" s="4">
        <f t="shared" ref="G78:AN78" si="63">G70/$E70</f>
        <v>2.2961230938289116E-2</v>
      </c>
      <c r="H78" s="4">
        <f t="shared" si="63"/>
        <v>1.3874199841945042E-2</v>
      </c>
      <c r="I78" s="4">
        <f t="shared" si="63"/>
        <v>2.8179641746987928E-2</v>
      </c>
      <c r="J78" s="4">
        <f t="shared" si="63"/>
        <v>4.4783507440441427E-2</v>
      </c>
      <c r="K78" s="4">
        <f t="shared" si="63"/>
        <v>2.3023557068597829E-2</v>
      </c>
      <c r="L78" s="4">
        <f t="shared" si="63"/>
        <v>1.6186517487861141E-2</v>
      </c>
      <c r="M78" s="4">
        <f t="shared" si="63"/>
        <v>2.6585811267342888E-2</v>
      </c>
      <c r="N78" s="4">
        <f t="shared" si="63"/>
        <v>3.3507843732695643E-2</v>
      </c>
      <c r="O78" s="4">
        <f t="shared" si="63"/>
        <v>5.0669682074085974E-2</v>
      </c>
      <c r="P78" s="4">
        <f t="shared" si="63"/>
        <v>4.6987873839688506E-2</v>
      </c>
      <c r="Q78" s="4">
        <f t="shared" si="63"/>
        <v>2.1450461318422022E-2</v>
      </c>
      <c r="R78" s="4">
        <f t="shared" si="63"/>
        <v>1.7616480486263058E-2</v>
      </c>
      <c r="S78" s="4">
        <f t="shared" si="63"/>
        <v>1.8926610138114763E-2</v>
      </c>
      <c r="T78" s="4">
        <f t="shared" si="63"/>
        <v>1.7694219713847371E-2</v>
      </c>
      <c r="U78" s="4">
        <f t="shared" si="63"/>
        <v>2.8061883618864584E-2</v>
      </c>
      <c r="V78" s="4">
        <f t="shared" si="63"/>
        <v>6.6551137638768423E-2</v>
      </c>
      <c r="W78" s="4">
        <f t="shared" si="63"/>
        <v>3.5421160489965596E-2</v>
      </c>
      <c r="X78" s="4">
        <f t="shared" si="63"/>
        <v>3.6314140290855022E-2</v>
      </c>
      <c r="Y78" s="4">
        <f t="shared" si="63"/>
        <v>5.8214507818223613E-2</v>
      </c>
      <c r="Z78" s="4">
        <f t="shared" si="63"/>
        <v>2.1033793167844168E-2</v>
      </c>
      <c r="AA78" s="4">
        <f t="shared" si="63"/>
        <v>1.9070699773428883E-2</v>
      </c>
      <c r="AB78" s="4">
        <f t="shared" si="63"/>
        <v>3.8645459661448334E-2</v>
      </c>
      <c r="AC78" s="4">
        <f t="shared" si="63"/>
        <v>2.1236953874267911E-2</v>
      </c>
      <c r="AD78" s="4">
        <f t="shared" si="63"/>
        <v>2.405356082458892E-2</v>
      </c>
      <c r="AE78" s="4">
        <f t="shared" si="63"/>
        <v>2.1949908620660735E-2</v>
      </c>
      <c r="AF78" s="4">
        <f t="shared" si="63"/>
        <v>4.4853502808591912E-2</v>
      </c>
      <c r="AG78" s="4">
        <f t="shared" si="63"/>
        <v>2.7742403661898622E-2</v>
      </c>
      <c r="AH78" s="4">
        <f t="shared" si="63"/>
        <v>1.4208557269872779E-2</v>
      </c>
      <c r="AI78" s="4">
        <f t="shared" si="63"/>
        <v>1.9791796985202597E-2</v>
      </c>
      <c r="AJ78" s="4">
        <f t="shared" si="63"/>
        <v>3.5226375614067613E-2</v>
      </c>
      <c r="AK78" s="4">
        <f t="shared" si="63"/>
        <v>1.8363111574857077E-2</v>
      </c>
      <c r="AL78" s="4">
        <f t="shared" si="63"/>
        <v>2.3025836556063082E-2</v>
      </c>
      <c r="AM78" s="4">
        <f t="shared" si="63"/>
        <v>2.7908594461634954E-2</v>
      </c>
      <c r="AN78" s="4">
        <f t="shared" si="63"/>
        <v>3.5878978194312572E-2</v>
      </c>
    </row>
    <row r="79" spans="5:40" x14ac:dyDescent="0.25">
      <c r="E79">
        <f t="shared" si="62"/>
        <v>0.99999999999999956</v>
      </c>
      <c r="G79" s="4">
        <f t="shared" ref="G79:AN79" si="64">G71/$E71</f>
        <v>2.2961230936481437E-2</v>
      </c>
      <c r="H79" s="4">
        <f t="shared" si="64"/>
        <v>1.3874199839199616E-2</v>
      </c>
      <c r="I79" s="4">
        <f t="shared" si="64"/>
        <v>2.8179641746134361E-2</v>
      </c>
      <c r="J79" s="4">
        <f t="shared" si="64"/>
        <v>4.4783507443991621E-2</v>
      </c>
      <c r="K79" s="4">
        <f t="shared" si="64"/>
        <v>2.30235570668E-2</v>
      </c>
      <c r="L79" s="4">
        <f t="shared" si="64"/>
        <v>1.6186517485248297E-2</v>
      </c>
      <c r="M79" s="4">
        <f t="shared" si="64"/>
        <v>2.6585811266171499E-2</v>
      </c>
      <c r="N79" s="4">
        <f t="shared" si="64"/>
        <v>3.3507843733053176E-2</v>
      </c>
      <c r="O79" s="4">
        <f t="shared" si="64"/>
        <v>5.0669682079582716E-2</v>
      </c>
      <c r="P79" s="4">
        <f t="shared" si="64"/>
        <v>4.6987873843947446E-2</v>
      </c>
      <c r="Q79" s="4">
        <f t="shared" si="64"/>
        <v>2.1450461316387982E-2</v>
      </c>
      <c r="R79" s="4">
        <f t="shared" si="64"/>
        <v>1.7616480483772116E-2</v>
      </c>
      <c r="S79" s="4">
        <f t="shared" si="64"/>
        <v>1.8926610135759688E-2</v>
      </c>
      <c r="T79" s="4">
        <f t="shared" si="64"/>
        <v>1.7694219711363864E-2</v>
      </c>
      <c r="U79" s="4">
        <f t="shared" si="64"/>
        <v>2.8061883617986796E-2</v>
      </c>
      <c r="V79" s="4">
        <f t="shared" si="64"/>
        <v>6.655113765027959E-2</v>
      </c>
      <c r="W79" s="4">
        <f t="shared" si="64"/>
        <v>3.5421160490808762E-2</v>
      </c>
      <c r="X79" s="4">
        <f t="shared" si="64"/>
        <v>3.6314140291933278E-2</v>
      </c>
      <c r="Y79" s="4">
        <f t="shared" si="64"/>
        <v>5.8214507826450039E-2</v>
      </c>
      <c r="Z79" s="4">
        <f t="shared" si="64"/>
        <v>2.103379316575205E-2</v>
      </c>
      <c r="AA79" s="4">
        <f t="shared" si="64"/>
        <v>1.9070699771090088E-2</v>
      </c>
      <c r="AB79" s="4">
        <f t="shared" si="64"/>
        <v>3.8645459663164558E-2</v>
      </c>
      <c r="AC79" s="4">
        <f t="shared" si="64"/>
        <v>2.1236953872203868E-2</v>
      </c>
      <c r="AD79" s="4">
        <f t="shared" si="64"/>
        <v>2.4053560822959653E-2</v>
      </c>
      <c r="AE79" s="4">
        <f t="shared" si="64"/>
        <v>2.1949908618698825E-2</v>
      </c>
      <c r="AF79" s="4">
        <f t="shared" si="64"/>
        <v>4.4853502812164235E-2</v>
      </c>
      <c r="AG79" s="4">
        <f t="shared" si="64"/>
        <v>2.7742403660955688E-2</v>
      </c>
      <c r="AH79" s="4">
        <f t="shared" si="64"/>
        <v>1.4208557267141221E-2</v>
      </c>
      <c r="AI79" s="4">
        <f t="shared" si="64"/>
        <v>1.9791796982949108E-2</v>
      </c>
      <c r="AJ79" s="4">
        <f t="shared" si="64"/>
        <v>3.5226375614860195E-2</v>
      </c>
      <c r="AK79" s="4">
        <f t="shared" si="64"/>
        <v>1.8363111572440846E-2</v>
      </c>
      <c r="AL79" s="4">
        <f t="shared" si="64"/>
        <v>2.302583655426562E-2</v>
      </c>
      <c r="AM79" s="4">
        <f t="shared" si="64"/>
        <v>2.79085944607258E-2</v>
      </c>
      <c r="AN79" s="4">
        <f t="shared" si="64"/>
        <v>3.5878978195275607E-2</v>
      </c>
    </row>
    <row r="80" spans="5:40" x14ac:dyDescent="0.25">
      <c r="E80">
        <f t="shared" si="62"/>
        <v>1</v>
      </c>
      <c r="G80" s="4">
        <f t="shared" ref="G80:AN80" si="65">G72/$E72</f>
        <v>2.296123093631814E-2</v>
      </c>
      <c r="H80" s="4">
        <f t="shared" si="65"/>
        <v>1.3874199838951601E-2</v>
      </c>
      <c r="I80" s="4">
        <f t="shared" si="65"/>
        <v>2.8179641746057259E-2</v>
      </c>
      <c r="J80" s="4">
        <f t="shared" si="65"/>
        <v>4.4783507444312358E-2</v>
      </c>
      <c r="K80" s="4">
        <f t="shared" si="65"/>
        <v>2.3023557066637595E-2</v>
      </c>
      <c r="L80" s="4">
        <f t="shared" si="65"/>
        <v>1.6186517485012257E-2</v>
      </c>
      <c r="M80" s="4">
        <f t="shared" si="65"/>
        <v>2.6585811266065681E-2</v>
      </c>
      <c r="N80" s="4">
        <f t="shared" si="65"/>
        <v>3.3507843733085477E-2</v>
      </c>
      <c r="O80" s="4">
        <f t="shared" si="65"/>
        <v>5.0669682080079305E-2</v>
      </c>
      <c r="P80" s="4">
        <f t="shared" si="65"/>
        <v>4.6987873844332208E-2</v>
      </c>
      <c r="Q80" s="4">
        <f t="shared" si="65"/>
        <v>2.1450461316204233E-2</v>
      </c>
      <c r="R80" s="4">
        <f t="shared" si="65"/>
        <v>1.7616480483547092E-2</v>
      </c>
      <c r="S80" s="4">
        <f t="shared" si="65"/>
        <v>1.8926610135546938E-2</v>
      </c>
      <c r="T80" s="4">
        <f t="shared" si="65"/>
        <v>1.7694219711139512E-2</v>
      </c>
      <c r="U80" s="4">
        <f t="shared" si="65"/>
        <v>2.8061883617907502E-2</v>
      </c>
      <c r="V80" s="4">
        <f t="shared" si="65"/>
        <v>6.6551137651319509E-2</v>
      </c>
      <c r="W80" s="4">
        <f t="shared" si="65"/>
        <v>3.5421160490884937E-2</v>
      </c>
      <c r="X80" s="4">
        <f t="shared" si="65"/>
        <v>3.63141402920307E-2</v>
      </c>
      <c r="Y80" s="4">
        <f t="shared" si="65"/>
        <v>5.8214507827193208E-2</v>
      </c>
      <c r="Z80" s="4">
        <f t="shared" si="65"/>
        <v>2.1033793165563058E-2</v>
      </c>
      <c r="AA80" s="4">
        <f t="shared" si="65"/>
        <v>1.9070699770878812E-2</v>
      </c>
      <c r="AB80" s="4">
        <f t="shared" si="65"/>
        <v>3.8645459663319601E-2</v>
      </c>
      <c r="AC80" s="4">
        <f t="shared" si="65"/>
        <v>2.1236953872017409E-2</v>
      </c>
      <c r="AD80" s="4">
        <f t="shared" si="65"/>
        <v>2.4053560822812473E-2</v>
      </c>
      <c r="AE80" s="4">
        <f t="shared" si="65"/>
        <v>2.1949908618521596E-2</v>
      </c>
      <c r="AF80" s="4">
        <f t="shared" si="65"/>
        <v>4.4853502812486963E-2</v>
      </c>
      <c r="AG80" s="4">
        <f t="shared" si="65"/>
        <v>2.774240366087051E-2</v>
      </c>
      <c r="AH80" s="4">
        <f t="shared" si="65"/>
        <v>1.4208557266894458E-2</v>
      </c>
      <c r="AI80" s="4">
        <f t="shared" si="65"/>
        <v>1.9791796982745535E-2</v>
      </c>
      <c r="AJ80" s="4">
        <f t="shared" si="65"/>
        <v>3.5226375614931797E-2</v>
      </c>
      <c r="AK80" s="4">
        <f t="shared" si="65"/>
        <v>1.8363111572222569E-2</v>
      </c>
      <c r="AL80" s="4">
        <f t="shared" si="65"/>
        <v>2.3025836554103243E-2</v>
      </c>
      <c r="AM80" s="4">
        <f t="shared" si="65"/>
        <v>2.7908594460643678E-2</v>
      </c>
      <c r="AN80" s="4">
        <f t="shared" si="65"/>
        <v>3.5878978195362614E-2</v>
      </c>
    </row>
    <row r="81" spans="5:40" x14ac:dyDescent="0.25">
      <c r="E81">
        <f t="shared" si="62"/>
        <v>1</v>
      </c>
      <c r="G81" s="4">
        <f t="shared" ref="G81:AN81" si="66">G73/$E73</f>
        <v>2.2961230937098943E-2</v>
      </c>
      <c r="H81" s="4">
        <f t="shared" si="66"/>
        <v>1.3874199840137449E-2</v>
      </c>
      <c r="I81" s="4">
        <f t="shared" si="66"/>
        <v>2.8179641746425947E-2</v>
      </c>
      <c r="J81" s="4">
        <f t="shared" si="66"/>
        <v>4.4783507442778904E-2</v>
      </c>
      <c r="K81" s="4">
        <f t="shared" si="66"/>
        <v>2.3023557067414144E-2</v>
      </c>
      <c r="L81" s="4">
        <f t="shared" si="66"/>
        <v>1.618651748614084E-2</v>
      </c>
      <c r="M81" s="4">
        <f t="shared" si="66"/>
        <v>2.6585811266571651E-2</v>
      </c>
      <c r="N81" s="4">
        <f t="shared" si="66"/>
        <v>3.3507843732931059E-2</v>
      </c>
      <c r="O81" s="4">
        <f t="shared" si="66"/>
        <v>5.0669682077705065E-2</v>
      </c>
      <c r="P81" s="4">
        <f t="shared" si="66"/>
        <v>4.6987873842492624E-2</v>
      </c>
      <c r="Q81" s="4">
        <f t="shared" si="66"/>
        <v>2.1450461317082812E-2</v>
      </c>
      <c r="R81" s="4">
        <f t="shared" si="66"/>
        <v>1.7616480484623023E-2</v>
      </c>
      <c r="S81" s="4">
        <f t="shared" si="66"/>
        <v>1.8926610136564184E-2</v>
      </c>
      <c r="T81" s="4">
        <f t="shared" si="66"/>
        <v>1.7694219712212231E-2</v>
      </c>
      <c r="U81" s="4">
        <f t="shared" si="66"/>
        <v>2.8061883618286654E-2</v>
      </c>
      <c r="V81" s="4">
        <f t="shared" si="66"/>
        <v>6.655113764634743E-2</v>
      </c>
      <c r="W81" s="4">
        <f t="shared" si="66"/>
        <v>3.5421160490520749E-2</v>
      </c>
      <c r="X81" s="4">
        <f t="shared" si="66"/>
        <v>3.6314140291564968E-2</v>
      </c>
      <c r="Y81" s="4">
        <f t="shared" si="66"/>
        <v>5.8214507823639926E-2</v>
      </c>
      <c r="Z81" s="4">
        <f t="shared" si="66"/>
        <v>2.1033793166466721E-2</v>
      </c>
      <c r="AA81" s="4">
        <f t="shared" si="66"/>
        <v>1.9070699771889021E-2</v>
      </c>
      <c r="AB81" s="4">
        <f t="shared" si="66"/>
        <v>3.8645459662578312E-2</v>
      </c>
      <c r="AC81" s="4">
        <f t="shared" si="66"/>
        <v>2.1236953872908946E-2</v>
      </c>
      <c r="AD81" s="4">
        <f t="shared" si="66"/>
        <v>2.4053560823516215E-2</v>
      </c>
      <c r="AE81" s="4">
        <f t="shared" si="66"/>
        <v>2.1949908619369015E-2</v>
      </c>
      <c r="AF81" s="4">
        <f t="shared" si="66"/>
        <v>4.4853502810943954E-2</v>
      </c>
      <c r="AG81" s="4">
        <f t="shared" si="66"/>
        <v>2.7742403661277799E-2</v>
      </c>
      <c r="AH81" s="4">
        <f t="shared" si="66"/>
        <v>1.420855726807432E-2</v>
      </c>
      <c r="AI81" s="4">
        <f t="shared" si="66"/>
        <v>1.9791796983718898E-2</v>
      </c>
      <c r="AJ81" s="4">
        <f t="shared" si="66"/>
        <v>3.5226375614589467E-2</v>
      </c>
      <c r="AK81" s="4">
        <f t="shared" si="66"/>
        <v>1.8363111573266231E-2</v>
      </c>
      <c r="AL81" s="4">
        <f t="shared" si="66"/>
        <v>2.3025836554879633E-2</v>
      </c>
      <c r="AM81" s="4">
        <f t="shared" si="66"/>
        <v>2.7908594461036374E-2</v>
      </c>
      <c r="AN81" s="4">
        <f t="shared" si="66"/>
        <v>3.5878978194946648E-2</v>
      </c>
    </row>
    <row r="82" spans="5:40" x14ac:dyDescent="0.25">
      <c r="E82">
        <f t="shared" si="62"/>
        <v>0.99999999999999989</v>
      </c>
      <c r="G82" s="4">
        <f t="shared" ref="G82:AN82" si="67">G74/$E74</f>
        <v>3.2194286868178733E-2</v>
      </c>
      <c r="H82" s="4">
        <f t="shared" si="67"/>
        <v>5.3280094811006214E-2</v>
      </c>
      <c r="I82" s="4">
        <f t="shared" si="67"/>
        <v>2.6232454724882903E-2</v>
      </c>
      <c r="J82" s="4">
        <f t="shared" si="67"/>
        <v>1.6506585762875857E-2</v>
      </c>
      <c r="K82" s="4">
        <f t="shared" si="67"/>
        <v>3.2107135444350461E-2</v>
      </c>
      <c r="L82" s="4">
        <f t="shared" si="67"/>
        <v>4.5668824437892164E-2</v>
      </c>
      <c r="M82" s="4">
        <f t="shared" si="67"/>
        <v>2.7805093626355696E-2</v>
      </c>
      <c r="N82" s="4">
        <f t="shared" si="67"/>
        <v>2.2061156533022847E-2</v>
      </c>
      <c r="O82" s="4">
        <f t="shared" si="67"/>
        <v>1.4589064122670695E-2</v>
      </c>
      <c r="P82" s="4">
        <f t="shared" si="67"/>
        <v>1.5732207376014152E-2</v>
      </c>
      <c r="Q82" s="4">
        <f t="shared" si="67"/>
        <v>3.4461739783105128E-2</v>
      </c>
      <c r="R82" s="4">
        <f t="shared" si="67"/>
        <v>4.196181659982226E-2</v>
      </c>
      <c r="S82" s="4">
        <f t="shared" si="67"/>
        <v>3.9057167148235164E-2</v>
      </c>
      <c r="T82" s="4">
        <f t="shared" si="67"/>
        <v>4.1777459009061706E-2</v>
      </c>
      <c r="U82" s="4">
        <f t="shared" si="67"/>
        <v>2.6342535362065628E-2</v>
      </c>
      <c r="V82" s="4">
        <f t="shared" si="67"/>
        <v>1.1107611777235297E-2</v>
      </c>
      <c r="W82" s="4">
        <f t="shared" si="67"/>
        <v>2.0869502038967522E-2</v>
      </c>
      <c r="X82" s="4">
        <f t="shared" si="67"/>
        <v>2.0356314723601686E-2</v>
      </c>
      <c r="Y82" s="4">
        <f t="shared" si="67"/>
        <v>1.2698273282549733E-2</v>
      </c>
      <c r="Z82" s="4">
        <f t="shared" si="67"/>
        <v>3.5144405065735615E-2</v>
      </c>
      <c r="AA82" s="4">
        <f t="shared" si="67"/>
        <v>3.8762070148622076E-2</v>
      </c>
      <c r="AB82" s="4">
        <f t="shared" si="67"/>
        <v>1.9128308838839946E-2</v>
      </c>
      <c r="AC82" s="4">
        <f t="shared" si="67"/>
        <v>3.4808202031232624E-2</v>
      </c>
      <c r="AD82" s="4">
        <f t="shared" si="67"/>
        <v>3.0732273886691284E-2</v>
      </c>
      <c r="AE82" s="4">
        <f t="shared" si="67"/>
        <v>3.3677602487966696E-2</v>
      </c>
      <c r="AF82" s="4">
        <f t="shared" si="67"/>
        <v>1.6480826814754129E-2</v>
      </c>
      <c r="AG82" s="4">
        <f t="shared" si="67"/>
        <v>2.664589306228583E-2</v>
      </c>
      <c r="AH82" s="4">
        <f t="shared" si="67"/>
        <v>5.2026307299103805E-2</v>
      </c>
      <c r="AI82" s="4">
        <f t="shared" si="67"/>
        <v>3.7349813842096263E-2</v>
      </c>
      <c r="AJ82" s="4">
        <f t="shared" si="67"/>
        <v>2.0984899774054697E-2</v>
      </c>
      <c r="AK82" s="4">
        <f t="shared" si="67"/>
        <v>4.0255686861441056E-2</v>
      </c>
      <c r="AL82" s="4">
        <f t="shared" si="67"/>
        <v>3.2103956951171811E-2</v>
      </c>
      <c r="AM82" s="4">
        <f t="shared" si="67"/>
        <v>2.6487222181618246E-2</v>
      </c>
      <c r="AN82" s="4">
        <f t="shared" si="67"/>
        <v>2.0603207322491834E-2</v>
      </c>
    </row>
    <row r="83" spans="5:40" x14ac:dyDescent="0.25">
      <c r="E83">
        <f t="shared" si="62"/>
        <v>1.0000000000000002</v>
      </c>
      <c r="G83" s="4">
        <f t="shared" ref="G83:AN83" si="68">G75/$E75</f>
        <v>3.2194286868161004E-2</v>
      </c>
      <c r="H83" s="4">
        <f t="shared" si="68"/>
        <v>5.3280094810278435E-2</v>
      </c>
      <c r="I83" s="4">
        <f t="shared" si="68"/>
        <v>2.6232454725008254E-2</v>
      </c>
      <c r="J83" s="4">
        <f t="shared" si="68"/>
        <v>1.6506585763153704E-2</v>
      </c>
      <c r="K83" s="4">
        <f t="shared" si="68"/>
        <v>3.2107135444335043E-2</v>
      </c>
      <c r="L83" s="4">
        <f t="shared" si="68"/>
        <v>4.566882443745153E-2</v>
      </c>
      <c r="M83" s="4">
        <f t="shared" si="68"/>
        <v>2.7805093626446439E-2</v>
      </c>
      <c r="N83" s="4">
        <f t="shared" si="68"/>
        <v>2.2061156533227679E-2</v>
      </c>
      <c r="O83" s="4">
        <f t="shared" si="68"/>
        <v>1.4589064122963147E-2</v>
      </c>
      <c r="P83" s="4">
        <f t="shared" si="68"/>
        <v>1.5732207376298633E-2</v>
      </c>
      <c r="Q83" s="4">
        <f t="shared" si="68"/>
        <v>3.4461739783025122E-2</v>
      </c>
      <c r="R83" s="4">
        <f t="shared" si="68"/>
        <v>4.1961816599509837E-2</v>
      </c>
      <c r="S83" s="4">
        <f t="shared" si="68"/>
        <v>3.9057167148017262E-2</v>
      </c>
      <c r="T83" s="4">
        <f t="shared" si="68"/>
        <v>4.1777459008755437E-2</v>
      </c>
      <c r="U83" s="4">
        <f t="shared" si="68"/>
        <v>2.634253536218863E-2</v>
      </c>
      <c r="V83" s="4">
        <f t="shared" si="68"/>
        <v>1.1107611777536761E-2</v>
      </c>
      <c r="W83" s="4">
        <f t="shared" si="68"/>
        <v>2.0869502039191443E-2</v>
      </c>
      <c r="X83" s="4">
        <f t="shared" si="68"/>
        <v>2.0356314723833289E-2</v>
      </c>
      <c r="Y83" s="4">
        <f t="shared" si="68"/>
        <v>1.2698273282850144E-2</v>
      </c>
      <c r="Z83" s="4">
        <f t="shared" si="68"/>
        <v>3.5144405065636083E-2</v>
      </c>
      <c r="AA83" s="4">
        <f t="shared" si="68"/>
        <v>3.8762070148413472E-2</v>
      </c>
      <c r="AB83" s="4">
        <f t="shared" si="68"/>
        <v>1.9128308839088549E-2</v>
      </c>
      <c r="AC83" s="4">
        <f t="shared" si="68"/>
        <v>3.4808202031142745E-2</v>
      </c>
      <c r="AD83" s="4">
        <f t="shared" si="68"/>
        <v>3.0732273886711528E-2</v>
      </c>
      <c r="AE83" s="4">
        <f t="shared" si="68"/>
        <v>3.3677602487908673E-2</v>
      </c>
      <c r="AF83" s="4">
        <f t="shared" si="68"/>
        <v>1.6480826815032212E-2</v>
      </c>
      <c r="AG83" s="4">
        <f t="shared" si="68"/>
        <v>2.6645893062402309E-2</v>
      </c>
      <c r="AH83" s="4">
        <f t="shared" si="68"/>
        <v>5.2026307298425389E-2</v>
      </c>
      <c r="AI83" s="4">
        <f t="shared" si="68"/>
        <v>3.7349813841931326E-2</v>
      </c>
      <c r="AJ83" s="4">
        <f t="shared" si="68"/>
        <v>2.0984899774276849E-2</v>
      </c>
      <c r="AK83" s="4">
        <f t="shared" si="68"/>
        <v>4.025568686118481E-2</v>
      </c>
      <c r="AL83" s="4">
        <f t="shared" si="68"/>
        <v>3.2103956951156476E-2</v>
      </c>
      <c r="AM83" s="4">
        <f t="shared" si="68"/>
        <v>2.6487222181738154E-2</v>
      </c>
      <c r="AN83" s="4">
        <f t="shared" si="68"/>
        <v>2.0603207322719783E-2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E5CC-59D9-4B27-B38A-10A8A3A49871}">
  <sheetPr codeName="Sheet2"/>
  <dimension ref="A1:Z36"/>
  <sheetViews>
    <sheetView tabSelected="1" zoomScale="85" zoomScaleNormal="85" workbookViewId="0">
      <selection activeCell="O34" sqref="O34"/>
    </sheetView>
  </sheetViews>
  <sheetFormatPr defaultRowHeight="15" x14ac:dyDescent="0.25"/>
  <cols>
    <col min="19" max="19" width="12.7109375" bestFit="1" customWidth="1"/>
    <col min="24" max="24" width="12.28515625" bestFit="1" customWidth="1"/>
  </cols>
  <sheetData>
    <row r="1" spans="1:26" x14ac:dyDescent="0.25">
      <c r="A1">
        <f ca="1">RAND() *2 - 1</f>
        <v>0.91939773801727975</v>
      </c>
      <c r="B1">
        <f ca="1">RAND()</f>
        <v>0.13265175897740622</v>
      </c>
      <c r="C1">
        <f ca="1">A2*0.2 - 0.1</f>
        <v>8.2674867395113927E-2</v>
      </c>
      <c r="D1">
        <f ca="1">IF($C$1&gt;=0,$C$1,1+$C$1)</f>
        <v>8.2674867395113927E-2</v>
      </c>
    </row>
    <row r="2" spans="1:26" x14ac:dyDescent="0.25">
      <c r="A2">
        <f ca="1">RAND()</f>
        <v>0.91337433697556958</v>
      </c>
      <c r="Q2" t="s">
        <v>82</v>
      </c>
    </row>
    <row r="3" spans="1:26" x14ac:dyDescent="0.25">
      <c r="D3" t="s">
        <v>60</v>
      </c>
      <c r="G3" t="s">
        <v>61</v>
      </c>
      <c r="I3" t="s">
        <v>62</v>
      </c>
      <c r="O3" t="s">
        <v>63</v>
      </c>
      <c r="Q3" t="s">
        <v>64</v>
      </c>
      <c r="R3" t="s">
        <v>69</v>
      </c>
      <c r="T3" t="s">
        <v>65</v>
      </c>
      <c r="U3" s="6" t="s">
        <v>71</v>
      </c>
      <c r="W3" s="1" t="s">
        <v>80</v>
      </c>
      <c r="Z3" s="2" t="s">
        <v>66</v>
      </c>
    </row>
    <row r="4" spans="1:26" x14ac:dyDescent="0.25">
      <c r="A4" s="4" t="s">
        <v>67</v>
      </c>
      <c r="B4" t="s">
        <v>68</v>
      </c>
      <c r="D4">
        <f>D12+D18</f>
        <v>43.10627437012969</v>
      </c>
      <c r="E4">
        <f>E12+E18</f>
        <v>-38.557716518363698</v>
      </c>
      <c r="G4">
        <f>G12+G18</f>
        <v>43.968731548404847</v>
      </c>
      <c r="I4">
        <f>I12+I18</f>
        <v>0.14711214666346423</v>
      </c>
      <c r="J4">
        <f t="shared" ref="J4:O4" si="0">J12+J18</f>
        <v>0.49143550145615977</v>
      </c>
      <c r="K4">
        <f t="shared" si="0"/>
        <v>-0.31211059059336987</v>
      </c>
      <c r="L4">
        <f t="shared" si="0"/>
        <v>-0.34101166238650876</v>
      </c>
      <c r="M4">
        <f t="shared" si="0"/>
        <v>4.0283592030485475E-2</v>
      </c>
      <c r="O4">
        <f t="shared" si="0"/>
        <v>0.14311412591513542</v>
      </c>
      <c r="Q4" cm="1">
        <f t="array" aca="1" ref="Q4" ca="1">MMULT(D4:E4, $B$5:$B$6) + G4</f>
        <v>44.40616223200378</v>
      </c>
      <c r="R4">
        <f ca="1">(2/(1+EXP(-Q4)) - 1) * 2</f>
        <v>2</v>
      </c>
      <c r="T4" cm="1">
        <f t="array" aca="1" ref="T4" ca="1">MMULT(I4:M4, R4:R8) + O4</f>
        <v>-1.771329480321659</v>
      </c>
      <c r="U4" s="6">
        <f ca="1">1/(1+EXP(-T4))</f>
        <v>0.14537707298430366</v>
      </c>
      <c r="W4" s="1">
        <f ca="1">(omega_out - omega_in)^2</f>
        <v>1.6193361657414025E-4</v>
      </c>
      <c r="Z4" s="2">
        <v>0.75</v>
      </c>
    </row>
    <row r="5" spans="1:26" x14ac:dyDescent="0.25">
      <c r="A5" s="4">
        <f ca="1">B1</f>
        <v>0.13265175897740622</v>
      </c>
      <c r="B5">
        <f ca="1">COS(2*PI()*$A$5)</f>
        <v>0.67230694738566488</v>
      </c>
      <c r="D5">
        <f t="shared" ref="D5:E5" si="1">D13+D19</f>
        <v>-28.584743614919031</v>
      </c>
      <c r="E5">
        <f t="shared" si="1"/>
        <v>-32.271934859023943</v>
      </c>
      <c r="G5">
        <f t="shared" ref="G5:G8" si="2">G13+G19</f>
        <v>27.946616921394472</v>
      </c>
      <c r="Q5" cm="1">
        <f t="array" aca="1" ref="Q5" ca="1">MMULT(D5:E5, $B$5:$B$6) + G5</f>
        <v>-15.161130572543435</v>
      </c>
      <c r="R5">
        <f t="shared" ref="R5:R8" ca="1" si="3">(2/(1+EXP(-Q5)) - 1) * 2</f>
        <v>-1.9999989584873932</v>
      </c>
    </row>
    <row r="6" spans="1:26" x14ac:dyDescent="0.25">
      <c r="B6">
        <f ca="1">SIN(2*PI()*$A$5)</f>
        <v>0.74027249611002621</v>
      </c>
      <c r="D6">
        <f t="shared" ref="D6:E6" si="4">D14+D20</f>
        <v>-5.838084166490642</v>
      </c>
      <c r="E6">
        <f t="shared" si="4"/>
        <v>16.661468435484664</v>
      </c>
      <c r="G6">
        <f t="shared" si="2"/>
        <v>6.1382643135297892</v>
      </c>
      <c r="Q6" cm="1">
        <f t="array" aca="1" ref="Q6" ca="1">MMULT(D6:E6, $B$5:$B$6) + G6</f>
        <v>14.547306596570525</v>
      </c>
      <c r="R6">
        <f t="shared" ca="1" si="3"/>
        <v>1.9999980758239664</v>
      </c>
      <c r="T6" s="1" t="s">
        <v>70</v>
      </c>
    </row>
    <row r="7" spans="1:26" x14ac:dyDescent="0.25">
      <c r="D7">
        <f t="shared" ref="D7:E7" si="5">D15+D21</f>
        <v>9.2830244061882379</v>
      </c>
      <c r="E7">
        <f t="shared" si="5"/>
        <v>30.558065910733646</v>
      </c>
      <c r="G7">
        <f t="shared" si="2"/>
        <v>33.479491130711722</v>
      </c>
      <c r="Q7" cm="1">
        <f t="array" aca="1" ref="Q7" ca="1">MMULT(D7:E7, $B$5:$B$6) + G7</f>
        <v>62.341828659776255</v>
      </c>
      <c r="R7">
        <f t="shared" ca="1" si="3"/>
        <v>2</v>
      </c>
    </row>
    <row r="8" spans="1:26" x14ac:dyDescent="0.25">
      <c r="D8">
        <f t="shared" ref="D8:E8" si="6">D16+D22</f>
        <v>4.0575443395242354</v>
      </c>
      <c r="E8">
        <f t="shared" si="6"/>
        <v>-20.794475041674009</v>
      </c>
      <c r="G8">
        <f t="shared" si="2"/>
        <v>19.861705695544451</v>
      </c>
      <c r="Q8" cm="1">
        <f t="array" aca="1" ref="Q8" ca="1">MMULT(D8:E8, $B$5:$B$6) + G8</f>
        <v>7.1960429999343134</v>
      </c>
      <c r="R8">
        <f t="shared" ca="1" si="3"/>
        <v>1.9970040619884544</v>
      </c>
      <c r="T8">
        <f ca="1">SIN((PI()/2)*(omega_out - omega_in))</f>
        <v>1.9987545416068193E-2</v>
      </c>
      <c r="U8" s="5"/>
    </row>
    <row r="9" spans="1:26" x14ac:dyDescent="0.25">
      <c r="T9">
        <f ca="1">dE_d_omega_out*omega_out*(1-omega_out)</f>
        <v>2.4833042030604361E-3</v>
      </c>
      <c r="U9" s="5"/>
      <c r="Y9" s="5" t="s">
        <v>74</v>
      </c>
    </row>
    <row r="10" spans="1:26" x14ac:dyDescent="0.25">
      <c r="T10">
        <f ca="1">R4*$T$9</f>
        <v>4.9666084061208721E-3</v>
      </c>
      <c r="U10" s="5" t="s">
        <v>72</v>
      </c>
      <c r="Y10" s="7">
        <f ca="1">-T10*$Z$4</f>
        <v>-3.7249563045906541E-3</v>
      </c>
    </row>
    <row r="11" spans="1:26" x14ac:dyDescent="0.25">
      <c r="D11" t="s">
        <v>56</v>
      </c>
      <c r="G11" t="s">
        <v>57</v>
      </c>
      <c r="I11" t="s">
        <v>58</v>
      </c>
      <c r="O11" t="s">
        <v>59</v>
      </c>
      <c r="T11">
        <f t="shared" ref="T11:T14" ca="1" si="7">R5*$T$9</f>
        <v>-4.9666058197282382E-3</v>
      </c>
      <c r="Y11" s="7">
        <f t="shared" ref="Y11:Y15" ca="1" si="8">-T11*$Z$4</f>
        <v>3.7249543647961784E-3</v>
      </c>
    </row>
    <row r="12" spans="1:26" x14ac:dyDescent="0.25">
      <c r="D12">
        <v>43.106583703803992</v>
      </c>
      <c r="E12">
        <v>-38.558143584280813</v>
      </c>
      <c r="G12">
        <v>43.969258874318882</v>
      </c>
      <c r="I12">
        <v>0.14460193917293729</v>
      </c>
      <c r="J12">
        <v>0.48892529396563283</v>
      </c>
      <c r="K12">
        <v>-0.30960048699316611</v>
      </c>
      <c r="L12">
        <v>-0.34352186635714382</v>
      </c>
      <c r="M12">
        <v>3.7773384539958529E-2</v>
      </c>
      <c r="O12">
        <v>0.14185902216987195</v>
      </c>
      <c r="T12">
        <f t="shared" ca="1" si="7"/>
        <v>4.9666036278064405E-3</v>
      </c>
      <c r="Y12" s="7">
        <f t="shared" ca="1" si="8"/>
        <v>-3.7249527208548304E-3</v>
      </c>
    </row>
    <row r="13" spans="1:26" x14ac:dyDescent="0.25">
      <c r="D13">
        <v>-28.583664726483129</v>
      </c>
      <c r="E13">
        <v>-32.273424371862738</v>
      </c>
      <c r="G13">
        <v>27.948456119250618</v>
      </c>
      <c r="T13">
        <f t="shared" ca="1" si="7"/>
        <v>4.9666084061208721E-3</v>
      </c>
      <c r="Y13" s="7">
        <f t="shared" ca="1" si="8"/>
        <v>-3.7249563045906541E-3</v>
      </c>
    </row>
    <row r="14" spans="1:26" x14ac:dyDescent="0.25">
      <c r="D14">
        <v>-5.8387668937630046</v>
      </c>
      <c r="E14">
        <v>16.662411008417823</v>
      </c>
      <c r="G14">
        <v>6.1371004577557562</v>
      </c>
      <c r="T14">
        <f t="shared" ca="1" si="7"/>
        <v>4.9591685806646925E-3</v>
      </c>
      <c r="Y14" s="7">
        <f t="shared" ca="1" si="8"/>
        <v>-3.7193764354985191E-3</v>
      </c>
    </row>
    <row r="15" spans="1:26" x14ac:dyDescent="0.25">
      <c r="D15">
        <v>9.2822555933221107</v>
      </c>
      <c r="E15">
        <v>30.559127333394802</v>
      </c>
      <c r="G15">
        <v>33.478180523490344</v>
      </c>
      <c r="T15">
        <f ca="1">T9</f>
        <v>2.4833042030604361E-3</v>
      </c>
      <c r="U15" s="5" t="s">
        <v>73</v>
      </c>
      <c r="Y15" s="7">
        <f t="shared" ca="1" si="8"/>
        <v>-1.8624781522953271E-3</v>
      </c>
    </row>
    <row r="16" spans="1:26" x14ac:dyDescent="0.25">
      <c r="D16">
        <v>4.0576177144241274</v>
      </c>
      <c r="E16">
        <v>-20.79457634302436</v>
      </c>
      <c r="G16">
        <v>19.861830778874744</v>
      </c>
    </row>
    <row r="17" spans="4:25" x14ac:dyDescent="0.25">
      <c r="D17" t="s">
        <v>52</v>
      </c>
      <c r="G17" t="s">
        <v>53</v>
      </c>
      <c r="I17" t="s">
        <v>54</v>
      </c>
      <c r="O17" t="s">
        <v>55</v>
      </c>
      <c r="T17" cm="1">
        <f t="array" aca="1" ref="T17:T21" ca="1">TRANSPOSE(I4:M4)*$T$9</f>
        <v>3.6532421213062403E-4</v>
      </c>
      <c r="U17" s="5" t="s">
        <v>75</v>
      </c>
    </row>
    <row r="18" spans="4:25" x14ac:dyDescent="0.25">
      <c r="D18">
        <v>-3.093336743000931E-4</v>
      </c>
      <c r="E18">
        <v>4.2706591711303484E-4</v>
      </c>
      <c r="G18">
        <v>-5.2732591403760313E-4</v>
      </c>
      <c r="I18">
        <v>2.5102074905269472E-3</v>
      </c>
      <c r="J18">
        <v>2.5102074905269472E-3</v>
      </c>
      <c r="K18">
        <v>-2.5101036002037813E-3</v>
      </c>
      <c r="L18">
        <v>2.5102039706350558E-3</v>
      </c>
      <c r="M18">
        <v>2.5102074905269472E-3</v>
      </c>
      <c r="O18">
        <v>1.2551037452634736E-3</v>
      </c>
      <c r="T18">
        <f ca="1"/>
        <v>1.2203838462991946E-3</v>
      </c>
    </row>
    <row r="19" spans="4:25" x14ac:dyDescent="0.25">
      <c r="D19">
        <v>-1.078888435902408E-3</v>
      </c>
      <c r="E19">
        <v>1.4895128387939979E-3</v>
      </c>
      <c r="G19">
        <v>-1.8391978561471027E-3</v>
      </c>
      <c r="T19">
        <f ca="1"/>
        <v>-7.7506554144019045E-4</v>
      </c>
    </row>
    <row r="20" spans="4:25" x14ac:dyDescent="0.25">
      <c r="D20">
        <v>6.8272727236238964E-4</v>
      </c>
      <c r="E20">
        <v>-9.4257293315782036E-4</v>
      </c>
      <c r="G20">
        <v>1.1638557740326443E-3</v>
      </c>
      <c r="T20">
        <f ca="1"/>
        <v>-8.4683569449704363E-4</v>
      </c>
    </row>
    <row r="21" spans="4:25" x14ac:dyDescent="0.25">
      <c r="D21">
        <v>7.6881286612635413E-4</v>
      </c>
      <c r="E21">
        <v>-1.0614226611553022E-3</v>
      </c>
      <c r="G21">
        <v>1.3106072213807699E-3</v>
      </c>
      <c r="T21">
        <f ca="1"/>
        <v>1.0003641340367646E-4</v>
      </c>
    </row>
    <row r="22" spans="4:25" x14ac:dyDescent="0.25">
      <c r="D22">
        <v>-7.3374899892369896E-5</v>
      </c>
      <c r="E22">
        <v>1.0130135035092312E-4</v>
      </c>
      <c r="G22">
        <v>-1.2508333029279231E-4</v>
      </c>
      <c r="J22" t="s">
        <v>77</v>
      </c>
      <c r="K22">
        <v>50</v>
      </c>
      <c r="M22" t="s">
        <v>78</v>
      </c>
      <c r="N22" t="s">
        <v>79</v>
      </c>
      <c r="P22" t="s">
        <v>80</v>
      </c>
      <c r="T22">
        <f ca="1">T17*(1-R4^2)</f>
        <v>-1.0959726363918721E-3</v>
      </c>
      <c r="U22" s="5" t="s">
        <v>83</v>
      </c>
    </row>
    <row r="23" spans="4:25" x14ac:dyDescent="0.25">
      <c r="K23">
        <v>170000</v>
      </c>
      <c r="M23" s="3">
        <f ca="1">A5</f>
        <v>0.13265175897740622</v>
      </c>
      <c r="N23" s="1">
        <f ca="1">U4</f>
        <v>0.14537707298430366</v>
      </c>
      <c r="P23" s="1">
        <f ca="1">SQRT( W4)</f>
        <v>1.2725314006897442E-2</v>
      </c>
      <c r="T23">
        <f t="shared" ref="T23:T26" ca="1" si="9">T18*(1-R5^2)</f>
        <v>-3.6611464547182636E-3</v>
      </c>
    </row>
    <row r="24" spans="4:25" x14ac:dyDescent="0.25">
      <c r="T24">
        <f t="shared" ca="1" si="9"/>
        <v>2.3251906588732836E-3</v>
      </c>
    </row>
    <row r="25" spans="4:25" x14ac:dyDescent="0.25">
      <c r="T25">
        <f t="shared" ca="1" si="9"/>
        <v>2.5405070834911307E-3</v>
      </c>
    </row>
    <row r="26" spans="4:25" x14ac:dyDescent="0.25">
      <c r="T26">
        <f t="shared" ca="1" si="9"/>
        <v>-2.9891132652850097E-4</v>
      </c>
      <c r="Y26" s="5" t="s">
        <v>74</v>
      </c>
    </row>
    <row r="27" spans="4:25" x14ac:dyDescent="0.25">
      <c r="G27" t="s">
        <v>81</v>
      </c>
      <c r="S27" cm="1">
        <f t="array" aca="1" ref="S27:T31" ca="1">MMULT(T22:T26, TRANSPOSE(B5:B6))</f>
        <v>-7.3683001759083878E-4</v>
      </c>
      <c r="T27">
        <f ca="1"/>
        <v>-8.1131839921009727E-4</v>
      </c>
      <c r="U27" s="5" t="s">
        <v>84</v>
      </c>
      <c r="X27">
        <f ca="1">-S27*$Z$4</f>
        <v>5.5262251319312906E-4</v>
      </c>
      <c r="Y27">
        <f ca="1">-T27*$Z$4</f>
        <v>6.0848879940757293E-4</v>
      </c>
    </row>
    <row r="28" spans="4:25" x14ac:dyDescent="0.25">
      <c r="S28">
        <f ca="1"/>
        <v>-2.4614141969034851E-3</v>
      </c>
      <c r="T28">
        <f ca="1"/>
        <v>-2.7102460246586622E-3</v>
      </c>
      <c r="X28">
        <f t="shared" ref="X28:X31" ca="1" si="10">-S28*$Z$4</f>
        <v>1.8460606476776139E-3</v>
      </c>
      <c r="Y28">
        <f t="shared" ref="Y28:Y36" ca="1" si="11">-T28*$Z$4</f>
        <v>2.0326845184939967E-3</v>
      </c>
    </row>
    <row r="29" spans="4:25" x14ac:dyDescent="0.25">
      <c r="S29">
        <f ca="1"/>
        <v>1.5632418339567601E-3</v>
      </c>
      <c r="T29">
        <f ca="1"/>
        <v>1.7212746929758421E-3</v>
      </c>
      <c r="X29">
        <f t="shared" ca="1" si="10"/>
        <v>-1.17243137546757E-3</v>
      </c>
      <c r="Y29">
        <f t="shared" ca="1" si="11"/>
        <v>-1.2909560197318817E-3</v>
      </c>
    </row>
    <row r="30" spans="4:25" x14ac:dyDescent="0.25">
      <c r="S30">
        <f ca="1"/>
        <v>1.7080005621135806E-3</v>
      </c>
      <c r="T30">
        <f ca="1"/>
        <v>1.880667520081182E-3</v>
      </c>
      <c r="X30">
        <f t="shared" ca="1" si="10"/>
        <v>-1.2810004215851854E-3</v>
      </c>
      <c r="Y30">
        <f t="shared" ca="1" si="11"/>
        <v>-1.4105006400608865E-3</v>
      </c>
    </row>
    <row r="31" spans="4:25" x14ac:dyDescent="0.25">
      <c r="S31">
        <f ca="1"/>
        <v>-2.009601614773762E-4</v>
      </c>
      <c r="T31">
        <f ca="1"/>
        <v>-2.2127583380481252E-4</v>
      </c>
      <c r="X31">
        <f t="shared" ca="1" si="10"/>
        <v>1.5072012110803215E-4</v>
      </c>
      <c r="Y31">
        <f t="shared" ca="1" si="11"/>
        <v>1.659568753536094E-4</v>
      </c>
    </row>
    <row r="32" spans="4:25" x14ac:dyDescent="0.25">
      <c r="T32">
        <f ca="1">T22</f>
        <v>-1.0959726363918721E-3</v>
      </c>
      <c r="U32" s="5" t="s">
        <v>76</v>
      </c>
      <c r="Y32">
        <f t="shared" ca="1" si="11"/>
        <v>8.2197947729390408E-4</v>
      </c>
    </row>
    <row r="33" spans="20:25" x14ac:dyDescent="0.25">
      <c r="T33">
        <f t="shared" ref="T33:T36" ca="1" si="12">T23</f>
        <v>-3.6611464547182636E-3</v>
      </c>
      <c r="Y33">
        <f t="shared" ca="1" si="11"/>
        <v>2.7458598410386977E-3</v>
      </c>
    </row>
    <row r="34" spans="20:25" x14ac:dyDescent="0.25">
      <c r="T34">
        <f t="shared" ca="1" si="12"/>
        <v>2.3251906588732836E-3</v>
      </c>
      <c r="Y34">
        <f t="shared" ca="1" si="11"/>
        <v>-1.7438929941549627E-3</v>
      </c>
    </row>
    <row r="35" spans="20:25" x14ac:dyDescent="0.25">
      <c r="T35">
        <f t="shared" ca="1" si="12"/>
        <v>2.5405070834911307E-3</v>
      </c>
      <c r="Y35">
        <f t="shared" ca="1" si="11"/>
        <v>-1.905380312618348E-3</v>
      </c>
    </row>
    <row r="36" spans="20:25" x14ac:dyDescent="0.25">
      <c r="T36">
        <f t="shared" ca="1" si="12"/>
        <v>-2.9891132652850097E-4</v>
      </c>
      <c r="Y36">
        <f t="shared" ca="1" si="11"/>
        <v>2.2418349489637573E-4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56</vt:i4>
      </vt:variant>
    </vt:vector>
  </HeadingPairs>
  <TitlesOfParts>
    <vt:vector size="58" baseType="lpstr">
      <vt:lpstr>transformer</vt:lpstr>
      <vt:lpstr>BackProp</vt:lpstr>
      <vt:lpstr>Add_and_Norm1</vt:lpstr>
      <vt:lpstr>Add_and_Norm2</vt:lpstr>
      <vt:lpstr>Add1_</vt:lpstr>
      <vt:lpstr>ATTENTION</vt:lpstr>
      <vt:lpstr>ATTENTION_V</vt:lpstr>
      <vt:lpstr>Bias1</vt:lpstr>
      <vt:lpstr>Bias2</vt:lpstr>
      <vt:lpstr>current_epoch</vt:lpstr>
      <vt:lpstr>d_deltaX_d_omega_pr</vt:lpstr>
      <vt:lpstr>d_deltaY_d_omega_pr</vt:lpstr>
      <vt:lpstr>dE_d_deltaX</vt:lpstr>
      <vt:lpstr>dE_d_deltaY</vt:lpstr>
      <vt:lpstr>dE_d_omega_out</vt:lpstr>
      <vt:lpstr>de_dpr</vt:lpstr>
      <vt:lpstr>de_dz2</vt:lpstr>
      <vt:lpstr>delta_B1</vt:lpstr>
      <vt:lpstr>delta_B2</vt:lpstr>
      <vt:lpstr>delta_W1</vt:lpstr>
      <vt:lpstr>delta_W2</vt:lpstr>
      <vt:lpstr>embeddings</vt:lpstr>
      <vt:lpstr>grad_b1</vt:lpstr>
      <vt:lpstr>grad_B2</vt:lpstr>
      <vt:lpstr>grad_W1</vt:lpstr>
      <vt:lpstr>grad_W2</vt:lpstr>
      <vt:lpstr>K_T</vt:lpstr>
      <vt:lpstr>Key</vt:lpstr>
      <vt:lpstr>learning_rate</vt:lpstr>
      <vt:lpstr>new_b1</vt:lpstr>
      <vt:lpstr>new_b2</vt:lpstr>
      <vt:lpstr>new_w1</vt:lpstr>
      <vt:lpstr>new_w2</vt:lpstr>
      <vt:lpstr>num_iterations</vt:lpstr>
      <vt:lpstr>old_b1</vt:lpstr>
      <vt:lpstr>old_b2</vt:lpstr>
      <vt:lpstr>old_w1</vt:lpstr>
      <vt:lpstr>old_w2</vt:lpstr>
      <vt:lpstr>omega_in</vt:lpstr>
      <vt:lpstr>omega_out</vt:lpstr>
      <vt:lpstr>Out_Weights</vt:lpstr>
      <vt:lpstr>Q_K_T</vt:lpstr>
      <vt:lpstr>Query</vt:lpstr>
      <vt:lpstr>ReLu_out</vt:lpstr>
      <vt:lpstr>SAG_B1</vt:lpstr>
      <vt:lpstr>SAG_B2</vt:lpstr>
      <vt:lpstr>SAG_W1</vt:lpstr>
      <vt:lpstr>SAG_w2</vt:lpstr>
      <vt:lpstr>Value</vt:lpstr>
      <vt:lpstr>Weights1</vt:lpstr>
      <vt:lpstr>Weights2</vt:lpstr>
      <vt:lpstr>Wghts1</vt:lpstr>
      <vt:lpstr>Wghts2</vt:lpstr>
      <vt:lpstr>X_in</vt:lpstr>
      <vt:lpstr>X_K</vt:lpstr>
      <vt:lpstr>X_Q</vt:lpstr>
      <vt:lpstr>X_V</vt:lpstr>
      <vt:lpstr>Z_out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</dc:creator>
  <cp:lastModifiedBy>evgeny</cp:lastModifiedBy>
  <cp:lastPrinted>2025-09-24T08:37:49Z</cp:lastPrinted>
  <dcterms:created xsi:type="dcterms:W3CDTF">2025-09-23T14:45:25Z</dcterms:created>
  <dcterms:modified xsi:type="dcterms:W3CDTF">2025-09-29T19:58:35Z</dcterms:modified>
</cp:coreProperties>
</file>