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\MicroTransformer\"/>
    </mc:Choice>
  </mc:AlternateContent>
  <xr:revisionPtr revIDLastSave="0" documentId="13_ncr:1_{3EEF7A7A-4C2B-4828-96DD-5B1492F57145}" xr6:coauthVersionLast="47" xr6:coauthVersionMax="47" xr10:uidLastSave="{00000000-0000-0000-0000-000000000000}"/>
  <bookViews>
    <workbookView xWindow="28680" yWindow="-120" windowWidth="29040" windowHeight="15720" activeTab="1" xr2:uid="{FD8A72F7-38AD-45D2-9D95-712C37856DF7}"/>
  </bookViews>
  <sheets>
    <sheet name="Sheet1" sheetId="1" r:id="rId1"/>
    <sheet name="BackProp" sheetId="2" r:id="rId2"/>
  </sheets>
  <definedNames>
    <definedName name="Bias1">BackProp!$G$18:$G$22</definedName>
    <definedName name="Bias2">BackProp!$O$18</definedName>
    <definedName name="current_epoch">BackProp!$K$23</definedName>
    <definedName name="d_deltaX_d_omega_pr">BackProp!$X$7</definedName>
    <definedName name="d_deltaY_d_omega_pr">BackProp!$W$7</definedName>
    <definedName name="dE_d_deltaX">BackProp!$U$7</definedName>
    <definedName name="dE_d_deltaY">BackProp!$T$7</definedName>
    <definedName name="de_dpr">BackProp!$U$8</definedName>
    <definedName name="de_dz2">BackProp!$W$8</definedName>
    <definedName name="delta_B1">BackProp!$G$18:$G$22</definedName>
    <definedName name="delta_B2">BackProp!$O$18</definedName>
    <definedName name="delta_W1">BackProp!$D$18:$E$22</definedName>
    <definedName name="delta_W2">BackProp!$I$18:$M$18</definedName>
    <definedName name="grad_b1">BackProp!$G$26:$G$30</definedName>
    <definedName name="grad_B2">BackProp!$O$26</definedName>
    <definedName name="grad_W1">BackProp!$D$26:$E$30</definedName>
    <definedName name="grad_W2">BackProp!$I$26:$M$26</definedName>
    <definedName name="learning_rate">BackProp!$K$21</definedName>
    <definedName name="new_b1">BackProp!$G$4:$G$8</definedName>
    <definedName name="new_b2">BackProp!$O$4</definedName>
    <definedName name="new_w1">BackProp!$D$4:$E$8</definedName>
    <definedName name="new_w2">BackProp!$I$4:$M$4</definedName>
    <definedName name="num_iterations">BackProp!$K$22</definedName>
    <definedName name="old_b1">BackProp!$G$12:$G$16</definedName>
    <definedName name="old_b2">BackProp!$O$12</definedName>
    <definedName name="old_w1">BackProp!$D$12:$E$16</definedName>
    <definedName name="old_w2">BackProp!$I$12:$M$12</definedName>
    <definedName name="omega_in">BackProp!$A$5</definedName>
    <definedName name="omega_out">BackProp!$U$4</definedName>
    <definedName name="SAG_B1">BackProp!$Y$32:$Y$36</definedName>
    <definedName name="SAG_B2">BackProp!$Y$15</definedName>
    <definedName name="SAG_W1">BackProp!$X$27:$Y$31</definedName>
    <definedName name="SAG_w2">BackProp!$Y$10:$Y$14</definedName>
    <definedName name="Wghts1">BackProp!$D$18:$E$22</definedName>
    <definedName name="Wghts2">BackProp!$I$18:$M$18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" i="2" l="1"/>
  <c r="J4" i="2"/>
  <c r="K4" i="2"/>
  <c r="L4" i="2"/>
  <c r="M4" i="2"/>
  <c r="I4" i="2"/>
  <c r="G5" i="2"/>
  <c r="G6" i="2"/>
  <c r="G7" i="2"/>
  <c r="G8" i="2"/>
  <c r="G4" i="2"/>
  <c r="D5" i="2"/>
  <c r="E5" i="2"/>
  <c r="D6" i="2"/>
  <c r="E6" i="2"/>
  <c r="D7" i="2"/>
  <c r="E7" i="2"/>
  <c r="D8" i="2"/>
  <c r="E8" i="2"/>
  <c r="E4" i="2"/>
  <c r="D4" i="2"/>
  <c r="B1" i="2"/>
  <c r="A5" i="2" s="1"/>
  <c r="A1" i="2"/>
  <c r="AC14" i="1"/>
  <c r="AC13" i="1"/>
  <c r="AB14" i="1"/>
  <c r="AB13" i="1"/>
  <c r="W14" i="1"/>
  <c r="W13" i="1"/>
  <c r="W11" i="1" a="1"/>
  <c r="W11" i="1"/>
  <c r="W10" i="1" a="1"/>
  <c r="W10" i="1" s="1"/>
  <c r="W5" i="1" a="1"/>
  <c r="W5" i="1" s="1"/>
  <c r="Z10" i="1" a="1"/>
  <c r="Z10" i="1" s="1"/>
  <c r="Z11" i="1" a="1"/>
  <c r="Z11" i="1" s="1"/>
  <c r="Z5" i="1" a="1"/>
  <c r="Z5" i="1" s="1"/>
  <c r="T10" i="1" a="1"/>
  <c r="T10" i="1" s="1"/>
  <c r="T11" i="1" a="1"/>
  <c r="T11" i="1" s="1"/>
  <c r="T5" i="1" a="1"/>
  <c r="T5" i="1" s="1"/>
  <c r="M14" i="1" a="1"/>
  <c r="M14" i="1" s="1"/>
  <c r="Z6" i="1" s="1" a="1"/>
  <c r="Z6" i="1" s="1"/>
  <c r="M15" i="1" a="1"/>
  <c r="M15" i="1" s="1"/>
  <c r="M16" i="1" a="1"/>
  <c r="M16" i="1" s="1"/>
  <c r="M17" i="1" a="1"/>
  <c r="M17" i="1" s="1"/>
  <c r="W9" i="1" s="1" a="1"/>
  <c r="M18" i="1" a="1"/>
  <c r="M18" i="1" s="1"/>
  <c r="M19" i="1" a="1"/>
  <c r="M19" i="1"/>
  <c r="M13" i="1" a="1"/>
  <c r="M13" i="1" s="1"/>
  <c r="J19" i="1" a="1"/>
  <c r="J19" i="1" s="1"/>
  <c r="J18" i="1" a="1"/>
  <c r="J18" i="1" s="1"/>
  <c r="J13" i="1" a="1"/>
  <c r="J13" i="1" s="1"/>
  <c r="N2" i="1" a="1"/>
  <c r="N2" i="1" s="1"/>
  <c r="O2" i="1" s="1" a="1"/>
  <c r="O2" i="1" s="1"/>
  <c r="P2" i="1" s="1" a="1"/>
  <c r="P2" i="1" s="1"/>
  <c r="Q2" i="1" s="1" a="1"/>
  <c r="Q2" i="1" s="1"/>
  <c r="R2" i="1" s="1" a="1"/>
  <c r="R2" i="1" s="1"/>
  <c r="M2" i="1" a="1"/>
  <c r="M2" i="1" s="1"/>
  <c r="J3" i="1"/>
  <c r="I3" i="1"/>
  <c r="J2" i="1"/>
  <c r="I2" i="1"/>
  <c r="C36" i="1"/>
  <c r="W9" i="1" l="1"/>
  <c r="AA13" i="1" s="1"/>
  <c r="AA14" i="1"/>
  <c r="Z9" i="1" a="1"/>
  <c r="Z9" i="1" s="1"/>
  <c r="T9" i="1" a="1"/>
  <c r="T9" i="1" s="1"/>
  <c r="T8" i="1" a="1"/>
  <c r="T8" i="1" s="1"/>
  <c r="W8" i="1" a="1"/>
  <c r="Z8" i="1" a="1"/>
  <c r="Z8" i="1" s="1"/>
  <c r="T7" i="1" a="1"/>
  <c r="T7" i="1" s="1"/>
  <c r="Z7" i="1" a="1"/>
  <c r="Z7" i="1" s="1"/>
  <c r="W7" i="1" a="1"/>
  <c r="T6" i="1" a="1"/>
  <c r="T6" i="1" s="1"/>
  <c r="W6" i="1" a="1"/>
  <c r="M23" i="2"/>
  <c r="W8" i="1" l="1"/>
  <c r="Z13" i="1" s="1"/>
  <c r="Z14" i="1"/>
  <c r="W7" i="1"/>
  <c r="Y13" i="1" s="1"/>
  <c r="P16" i="1" s="1" a="1"/>
  <c r="Y14" i="1"/>
  <c r="W6" i="1"/>
  <c r="X13" i="1" s="1"/>
  <c r="X14" i="1"/>
  <c r="B6" i="2"/>
  <c r="B5" i="2"/>
  <c r="P16" i="1" l="1"/>
  <c r="G22" i="1" s="1"/>
  <c r="H26" i="1"/>
  <c r="I27" i="1"/>
  <c r="J28" i="1"/>
  <c r="K23" i="1"/>
  <c r="L24" i="1"/>
  <c r="M25" i="1"/>
  <c r="H27" i="1"/>
  <c r="L25" i="1"/>
  <c r="I26" i="1"/>
  <c r="J27" i="1"/>
  <c r="K28" i="1"/>
  <c r="L23" i="1"/>
  <c r="M24" i="1"/>
  <c r="H22" i="1"/>
  <c r="M28" i="1"/>
  <c r="H25" i="1"/>
  <c r="H28" i="1"/>
  <c r="J24" i="1"/>
  <c r="G26" i="1"/>
  <c r="K24" i="1"/>
  <c r="J26" i="1"/>
  <c r="K27" i="1"/>
  <c r="L28" i="1"/>
  <c r="M23" i="1"/>
  <c r="G25" i="1"/>
  <c r="I22" i="1"/>
  <c r="K26" i="1"/>
  <c r="L27" i="1"/>
  <c r="G24" i="1"/>
  <c r="J22" i="1"/>
  <c r="M27" i="1"/>
  <c r="H24" i="1"/>
  <c r="I25" i="1"/>
  <c r="M26" i="1"/>
  <c r="G28" i="1"/>
  <c r="H23" i="1"/>
  <c r="I24" i="1"/>
  <c r="J25" i="1"/>
  <c r="L22" i="1"/>
  <c r="G27" i="1"/>
  <c r="I23" i="1"/>
  <c r="K25" i="1"/>
  <c r="M22" i="1"/>
  <c r="I28" i="1"/>
  <c r="L26" i="1"/>
  <c r="G23" i="1"/>
  <c r="K22" i="1"/>
  <c r="J23" i="1"/>
  <c r="Q6" i="2" a="1"/>
  <c r="Q6" i="2" s="1"/>
  <c r="R6" i="2" s="1"/>
  <c r="Q7" i="2" a="1"/>
  <c r="Q7" i="2" s="1"/>
  <c r="R7" i="2" s="1"/>
  <c r="Q5" i="2" a="1"/>
  <c r="Q5" i="2" s="1"/>
  <c r="R5" i="2" s="1"/>
  <c r="Q8" i="2" a="1"/>
  <c r="Q8" i="2" s="1"/>
  <c r="R8" i="2" s="1"/>
  <c r="Q4" i="2" a="1"/>
  <c r="Q4" i="2" s="1"/>
  <c r="R4" i="2" s="1"/>
  <c r="N26" i="1" l="1"/>
  <c r="V29" i="1" s="1"/>
  <c r="N28" i="1"/>
  <c r="S31" i="1" s="1"/>
  <c r="T31" i="1"/>
  <c r="S30" i="1"/>
  <c r="N24" i="1"/>
  <c r="T27" i="1" s="1"/>
  <c r="N25" i="1"/>
  <c r="S28" i="1" s="1"/>
  <c r="Q31" i="1"/>
  <c r="N23" i="1"/>
  <c r="Q26" i="1" s="1"/>
  <c r="N27" i="1"/>
  <c r="V30" i="1" s="1"/>
  <c r="V26" i="1"/>
  <c r="N22" i="1"/>
  <c r="Q25" i="1" s="1"/>
  <c r="P25" i="1"/>
  <c r="T4" i="2" a="1"/>
  <c r="T4" i="2" s="1"/>
  <c r="U4" i="2" s="1"/>
  <c r="W4" i="2" s="1"/>
  <c r="W7" i="2" l="1"/>
  <c r="X7" i="2"/>
  <c r="T7" i="2"/>
  <c r="U7" i="2"/>
  <c r="P23" i="2"/>
  <c r="T26" i="1"/>
  <c r="P29" i="1"/>
  <c r="V27" i="1"/>
  <c r="S27" i="1"/>
  <c r="P27" i="1"/>
  <c r="U27" i="1"/>
  <c r="P28" i="1"/>
  <c r="U28" i="1"/>
  <c r="R31" i="1"/>
  <c r="U31" i="1"/>
  <c r="V28" i="1"/>
  <c r="R29" i="1"/>
  <c r="S29" i="1"/>
  <c r="T29" i="1"/>
  <c r="U29" i="1"/>
  <c r="U26" i="1"/>
  <c r="U30" i="1"/>
  <c r="P30" i="1"/>
  <c r="Q29" i="1"/>
  <c r="S26" i="1"/>
  <c r="V31" i="1"/>
  <c r="P31" i="1"/>
  <c r="T25" i="1"/>
  <c r="Q30" i="1"/>
  <c r="T30" i="1"/>
  <c r="Q28" i="1"/>
  <c r="P26" i="1"/>
  <c r="R25" i="1"/>
  <c r="R30" i="1"/>
  <c r="S25" i="1"/>
  <c r="U25" i="1"/>
  <c r="V25" i="1"/>
  <c r="T28" i="1"/>
  <c r="Q27" i="1"/>
  <c r="R28" i="1"/>
  <c r="R27" i="1"/>
  <c r="R26" i="1"/>
  <c r="N23" i="2"/>
  <c r="T8" i="2" l="1"/>
  <c r="T9" i="2" s="1"/>
  <c r="T17" i="2" s="1" a="1"/>
  <c r="T23" i="2" s="1"/>
  <c r="T33" i="2" s="1"/>
  <c r="Y33" i="2" s="1"/>
  <c r="X17" i="1" a="1"/>
  <c r="X17" i="1" s="1"/>
  <c r="T15" i="2" l="1"/>
  <c r="Y15" i="2" s="1"/>
  <c r="T10" i="2"/>
  <c r="Y10" i="2" s="1"/>
  <c r="T12" i="2"/>
  <c r="Y12" i="2" s="1"/>
  <c r="T13" i="2"/>
  <c r="Y13" i="2" s="1"/>
  <c r="T14" i="2"/>
  <c r="Y14" i="2" s="1"/>
  <c r="T11" i="2"/>
  <c r="Y11" i="2" s="1"/>
  <c r="T25" i="2"/>
  <c r="T35" i="2" s="1"/>
  <c r="Y35" i="2" s="1"/>
  <c r="T17" i="2"/>
  <c r="T22" i="2" s="1"/>
  <c r="T24" i="2"/>
  <c r="T34" i="2" s="1"/>
  <c r="Y34" i="2" s="1"/>
  <c r="T26" i="2"/>
  <c r="T36" i="2" s="1"/>
  <c r="Y36" i="2" s="1"/>
  <c r="S27" i="2" l="1" a="1"/>
  <c r="X28" i="2" s="1"/>
  <c r="T32" i="2"/>
  <c r="Y32" i="2" s="1"/>
  <c r="Y28" i="2" l="1"/>
  <c r="X29" i="2"/>
  <c r="Y31" i="2"/>
  <c r="Y29" i="2"/>
  <c r="Y30" i="2"/>
  <c r="X30" i="2"/>
  <c r="Y27" i="2"/>
  <c r="S27" i="2"/>
  <c r="X27" i="2" s="1"/>
  <c r="X3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<sst xmlns="http://schemas.openxmlformats.org/spreadsheetml/2006/main" count="96" uniqueCount="87">
  <si>
    <t>моя</t>
  </si>
  <si>
    <t>твоя</t>
  </si>
  <si>
    <t>понимай</t>
  </si>
  <si>
    <t>есть</t>
  </si>
  <si>
    <t>нету</t>
  </si>
  <si>
    <t>люди</t>
  </si>
  <si>
    <t>зверь</t>
  </si>
  <si>
    <t>тайга</t>
  </si>
  <si>
    <t>худой</t>
  </si>
  <si>
    <t>добрый</t>
  </si>
  <si>
    <t>ходи</t>
  </si>
  <si>
    <t>живи</t>
  </si>
  <si>
    <t>кушай</t>
  </si>
  <si>
    <t xml:space="preserve">небо </t>
  </si>
  <si>
    <t>река</t>
  </si>
  <si>
    <t>вода</t>
  </si>
  <si>
    <t>огонь</t>
  </si>
  <si>
    <t>ищи</t>
  </si>
  <si>
    <t>земля</t>
  </si>
  <si>
    <t>смотри</t>
  </si>
  <si>
    <t>еда</t>
  </si>
  <si>
    <t>START</t>
  </si>
  <si>
    <t>UNC</t>
  </si>
  <si>
    <t>PAD</t>
  </si>
  <si>
    <t>END</t>
  </si>
  <si>
    <t>Q</t>
  </si>
  <si>
    <t>K</t>
  </si>
  <si>
    <t>V</t>
  </si>
  <si>
    <t>E</t>
  </si>
  <si>
    <t>Embeddings</t>
  </si>
  <si>
    <t>Rotation matrix</t>
  </si>
  <si>
    <t>Tokens</t>
  </si>
  <si>
    <t>K^T</t>
  </si>
  <si>
    <t>Q*K^T/SQRT(2)</t>
  </si>
  <si>
    <t>aux for softmax</t>
  </si>
  <si>
    <t>ATTENTION*V</t>
  </si>
  <si>
    <t>его</t>
  </si>
  <si>
    <t>был</t>
  </si>
  <si>
    <t>птица</t>
  </si>
  <si>
    <t>сопка</t>
  </si>
  <si>
    <t>поле</t>
  </si>
  <si>
    <t>деревня</t>
  </si>
  <si>
    <t>город</t>
  </si>
  <si>
    <t>будет</t>
  </si>
  <si>
    <t>пей</t>
  </si>
  <si>
    <t>Positional vectors</t>
  </si>
  <si>
    <t>E + Positional</t>
  </si>
  <si>
    <t>aux for positional</t>
  </si>
  <si>
    <t>ATTENTION = SOFTMAX(Q*K^T/SQRT(2))</t>
  </si>
  <si>
    <t>X*Q</t>
  </si>
  <si>
    <t>X*K</t>
  </si>
  <si>
    <t>X*V</t>
  </si>
  <si>
    <t>dw1</t>
  </si>
  <si>
    <t>db1</t>
  </si>
  <si>
    <t>dw2</t>
  </si>
  <si>
    <t>db2</t>
  </si>
  <si>
    <t>old w1</t>
  </si>
  <si>
    <t>old b1</t>
  </si>
  <si>
    <t>old w2</t>
  </si>
  <si>
    <t>old b2</t>
  </si>
  <si>
    <t>old w1 + dw1</t>
  </si>
  <si>
    <t>old b1 + db1</t>
  </si>
  <si>
    <t>old w2 + dw2</t>
  </si>
  <si>
    <t>old b2 + db2</t>
  </si>
  <si>
    <t>w1*x+b1</t>
  </si>
  <si>
    <t>w2*a+b2</t>
  </si>
  <si>
    <t>learning rate</t>
  </si>
  <si>
    <t>Y</t>
  </si>
  <si>
    <t>X</t>
  </si>
  <si>
    <t>tanh(h)</t>
  </si>
  <si>
    <t>X-&gt; W1*X + B1 -&gt; H -&gt; tanh(H) -&gt;  A -&gt; W2*A + B2 -&gt; Z -&gt; sigmoid(Z) -&gt; Pr -&gt;  (Pr - Y)^2 -&gt; E</t>
  </si>
  <si>
    <t>Pr=sigmoid(z)</t>
  </si>
  <si>
    <t>dPr/dZ = sigmoid(Z)(1 - sigmoid(Z))</t>
  </si>
  <si>
    <t>dZ/dW2 = A</t>
  </si>
  <si>
    <t>dZ/dB2 = 1</t>
  </si>
  <si>
    <t>Scaled Anti Gradients</t>
  </si>
  <si>
    <t>dZ/dA = W2</t>
  </si>
  <si>
    <t xml:space="preserve">dH/dB1 = 1 </t>
  </si>
  <si>
    <t>iterations</t>
  </si>
  <si>
    <t>target</t>
  </si>
  <si>
    <t>prediction</t>
  </si>
  <si>
    <t>error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</si>
  <si>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</si>
  <si>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h</t>
  </si>
  <si>
    <t>dA/dH = 1 - tanh(H)^2</t>
  </si>
  <si>
    <t>dH/dW1 = [x^t … x^t]^t</t>
  </si>
  <si>
    <t>∂E/∂ω_pz = ∂E/∂sin(pred) * d(sin(pred))/dω_pz + ∂E/∂cos(pred) * d(cos(pred))/dω_pz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</si>
</sst>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7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75D6E-1C82-438C-A5E2-10FEDE40309C}">
  <sheetPr codeName="Sheet1"/>
  <dimension ref="A1:AC36"/>
  <sheetViews>
    <sheetView workbookViewId="0">
      <selection activeCell="G12" sqref="G12"/>
    </sheetView>
  </sheetViews>
  <sheetFormatPr defaultRowHeight="15" x14ac:dyDescent="0.25"/>
  <sheetData>
    <row r="1" spans="1:29" x14ac:dyDescent="0.25">
      <c r="A1" s="1" t="s">
        <v>31</v>
      </c>
      <c r="C1" s="1" t="s">
        <v>29</v>
      </c>
      <c r="F1" s="1" t="s">
        <v>45</v>
      </c>
      <c r="I1" s="1" t="s">
        <v>30</v>
      </c>
      <c r="M1" t="s">
        <v>47</v>
      </c>
      <c r="T1" s="1" t="s">
        <v>25</v>
      </c>
      <c r="W1" s="1" t="s">
        <v>26</v>
      </c>
      <c r="Z1" s="1" t="s">
        <v>27</v>
      </c>
    </row>
    <row r="2" spans="1:29" x14ac:dyDescent="0.25">
      <c r="A2" t="s">
        <v>0</v>
      </c>
      <c r="B2">
        <v>1</v>
      </c>
      <c r="C2">
        <v>0.91832518307218269</v>
      </c>
      <c r="D2">
        <v>0.17965634388506657</v>
      </c>
      <c r="F2">
        <v>0</v>
      </c>
      <c r="G2">
        <v>1</v>
      </c>
      <c r="I2">
        <f>COS(1)</f>
        <v>0.54030230586813977</v>
      </c>
      <c r="J2">
        <f>SIN(1)</f>
        <v>0.8414709848078965</v>
      </c>
      <c r="L2">
        <v>0</v>
      </c>
      <c r="M2" cm="1">
        <f t="array" ref="M2:M3">MMULT($I$2:$J$3,L2:L3)</f>
        <v>0.8414709848078965</v>
      </c>
      <c r="N2" cm="1">
        <f t="array" ref="N2:N3">MMULT($I$2:$J$3,M2:M3)</f>
        <v>0.90929742682568182</v>
      </c>
      <c r="O2" cm="1">
        <f t="array" ref="O2:O3">MMULT($I$2:$J$3,N2:N3)</f>
        <v>0.14112000805986741</v>
      </c>
      <c r="P2" cm="1">
        <f t="array" ref="P2:P3">MMULT($I$2:$J$3,O2:O3)</f>
        <v>-0.7568024953079282</v>
      </c>
      <c r="Q2" cm="1">
        <f t="array" ref="Q2:Q3">MMULT($I$2:$J$3,P2:P3)</f>
        <v>-0.95892427466313868</v>
      </c>
      <c r="R2" cm="1">
        <f t="array" ref="R2:R3">MMULT($I$2:$J$3,Q2:Q3)</f>
        <v>-0.2794154981989263</v>
      </c>
      <c r="T2" s="1">
        <v>0.42458706975870486</v>
      </c>
      <c r="U2" s="1">
        <v>0.48855993246861096</v>
      </c>
      <c r="W2" s="2">
        <v>0.55243747906906682</v>
      </c>
      <c r="X2" s="2">
        <v>0.50366619206389573</v>
      </c>
      <c r="Z2" s="4">
        <v>0.22611984156050335</v>
      </c>
      <c r="AA2" s="4">
        <v>0.29936520332434136</v>
      </c>
    </row>
    <row r="3" spans="1:29" x14ac:dyDescent="0.25">
      <c r="A3" t="s">
        <v>1</v>
      </c>
      <c r="B3">
        <v>2</v>
      </c>
      <c r="C3">
        <v>0.97105054479085973</v>
      </c>
      <c r="D3">
        <v>0.61018973504042606</v>
      </c>
      <c r="F3">
        <v>0.8414709848078965</v>
      </c>
      <c r="G3">
        <v>0.54030230586813977</v>
      </c>
      <c r="I3">
        <f>-J2</f>
        <v>-0.8414709848078965</v>
      </c>
      <c r="J3">
        <f>I2</f>
        <v>0.54030230586813977</v>
      </c>
      <c r="L3">
        <v>1</v>
      </c>
      <c r="M3">
        <v>0.54030230586813977</v>
      </c>
      <c r="N3">
        <v>-0.4161468365471423</v>
      </c>
      <c r="O3">
        <v>-0.98999249660044553</v>
      </c>
      <c r="P3">
        <v>-0.65364362086361216</v>
      </c>
      <c r="Q3">
        <v>0.28366218546322602</v>
      </c>
      <c r="R3">
        <v>0.96017028665036608</v>
      </c>
      <c r="T3" s="1">
        <v>0.69346770064611496</v>
      </c>
      <c r="U3" s="1">
        <v>6.4407052939849274E-2</v>
      </c>
      <c r="W3" s="2">
        <v>0.2494695973797586</v>
      </c>
      <c r="X3" s="2">
        <v>0.31896671869573057</v>
      </c>
      <c r="Z3" s="4">
        <v>0.66967301122176304</v>
      </c>
      <c r="AA3" s="4">
        <v>0.61010302999235211</v>
      </c>
    </row>
    <row r="4" spans="1:29" x14ac:dyDescent="0.25">
      <c r="A4" t="s">
        <v>36</v>
      </c>
      <c r="B4">
        <v>3</v>
      </c>
      <c r="C4">
        <v>0.79460939189965385</v>
      </c>
      <c r="D4">
        <v>0.83563272318952131</v>
      </c>
      <c r="F4">
        <v>0.90929742682568182</v>
      </c>
      <c r="G4">
        <v>-0.4161468365471423</v>
      </c>
      <c r="T4" t="s">
        <v>49</v>
      </c>
      <c r="W4" t="s">
        <v>50</v>
      </c>
      <c r="Z4" t="s">
        <v>51</v>
      </c>
    </row>
    <row r="5" spans="1:29" x14ac:dyDescent="0.25">
      <c r="A5" t="s">
        <v>3</v>
      </c>
      <c r="B5">
        <v>4</v>
      </c>
      <c r="C5">
        <v>0.10635390571508396</v>
      </c>
      <c r="D5">
        <v>0.73622163286890752</v>
      </c>
      <c r="F5">
        <v>0.14112000805986741</v>
      </c>
      <c r="G5">
        <v>-0.98999249660044553</v>
      </c>
      <c r="T5" cm="1">
        <f t="array" ref="T5:U5">MMULT(M13:N13,$T$2:$U$3)</f>
        <v>1.038299330622301</v>
      </c>
      <c r="U5">
        <v>9.6754111655790634E-2</v>
      </c>
      <c r="W5" cm="1">
        <f t="array" ref="W5:X5">MMULT($M$13:$N$13, $W$2:$X$3)</f>
        <v>0.37380505031214956</v>
      </c>
      <c r="X5">
        <v>0.4777949897277165</v>
      </c>
      <c r="Z5" cm="1">
        <f t="array" ref="Z5:AA5">MMULT(M13:N13,$Z$2:$AA$3)</f>
        <v>1.0025414560819956</v>
      </c>
      <c r="AA5">
        <v>0.91342811155193171</v>
      </c>
    </row>
    <row r="6" spans="1:29" x14ac:dyDescent="0.25">
      <c r="A6" t="s">
        <v>4</v>
      </c>
      <c r="B6">
        <v>5</v>
      </c>
      <c r="C6">
        <v>0.33120752988430424</v>
      </c>
      <c r="D6">
        <v>0.92802506743289026</v>
      </c>
      <c r="F6">
        <v>-0.7568024953079282</v>
      </c>
      <c r="G6">
        <v>-0.65364362086361216</v>
      </c>
      <c r="T6" cm="1">
        <f t="array" ref="T6:U6">MMULT(M14:N14,$T$2:$U$3)</f>
        <v>1.671757735257819</v>
      </c>
      <c r="U6">
        <v>0.97503856344610562</v>
      </c>
      <c r="W6" cm="1">
        <f t="array" ref="W6:X6">MMULT($M$14:$N$14, $W$2:$X$3)</f>
        <v>1.3309501768713641</v>
      </c>
      <c r="X6">
        <v>1.3318019239136039</v>
      </c>
      <c r="Z6" cm="1">
        <f t="array" ref="Z6:AA6">MMULT(M14:N14,$Z$2:$AA$3)</f>
        <v>1.2787327191313407</v>
      </c>
      <c r="AA6">
        <v>1.3353900629469024</v>
      </c>
    </row>
    <row r="7" spans="1:29" x14ac:dyDescent="0.25">
      <c r="A7" t="s">
        <v>37</v>
      </c>
      <c r="B7">
        <v>6</v>
      </c>
      <c r="C7">
        <v>8.6036301894949041E-2</v>
      </c>
      <c r="D7">
        <v>0.16130419312563438</v>
      </c>
      <c r="F7">
        <v>-0.95892427466313868</v>
      </c>
      <c r="G7">
        <v>0.28366218546322602</v>
      </c>
      <c r="T7" cm="1">
        <f t="array" ref="T7:U7">MMULT(M15:N15,$T$2:$U$3)</f>
        <v>0.17615555062647134</v>
      </c>
      <c r="U7">
        <v>0.43418110806749566</v>
      </c>
      <c r="W7" cm="1">
        <f t="array" ref="W7:X7">MMULT($M$15:$N$15, $W$2:$X$3)</f>
        <v>0.43520628668543898</v>
      </c>
      <c r="X7">
        <v>0.36790338511278631</v>
      </c>
      <c r="Z7" cm="1">
        <f t="array" ref="Z7:AA7">MMULT(M15:N15,$Z$2:$AA$3)</f>
        <v>-9.6910504551703247E-4</v>
      </c>
      <c r="AA7">
        <v>8.5969266847137904E-2</v>
      </c>
    </row>
    <row r="8" spans="1:29" x14ac:dyDescent="0.25">
      <c r="A8" t="s">
        <v>43</v>
      </c>
      <c r="B8">
        <v>7</v>
      </c>
      <c r="C8">
        <v>0.72249467829163105</v>
      </c>
      <c r="D8">
        <v>0.41452286845650244</v>
      </c>
      <c r="F8">
        <v>-0.2794154981989263</v>
      </c>
      <c r="G8">
        <v>0.96017028665036608</v>
      </c>
      <c r="T8" cm="1">
        <f t="array" ref="T8:U8">MMULT(M16:N16,$T$2:$U$3)</f>
        <v>6.9495717907424315E-2</v>
      </c>
      <c r="U8">
        <v>0.43394304806928252</v>
      </c>
      <c r="W8" cm="1">
        <f t="array" ref="W8:X8">MMULT($M$16:$N$16, $W$2:$X$3)</f>
        <v>0.40544034369411347</v>
      </c>
      <c r="X8">
        <v>0.32548247767708605</v>
      </c>
      <c r="Z8" cm="1">
        <f t="array" ref="Z8:AA8">MMULT(M16:N16,$Z$2:$AA$3)</f>
        <v>-0.10792787628593375</v>
      </c>
      <c r="AA8">
        <v>-9.4653941792533502E-3</v>
      </c>
    </row>
    <row r="9" spans="1:29" x14ac:dyDescent="0.25">
      <c r="A9" t="s">
        <v>5</v>
      </c>
      <c r="B9">
        <v>8</v>
      </c>
      <c r="C9">
        <v>2.0999801088026904E-2</v>
      </c>
      <c r="D9">
        <v>0.10057824816997252</v>
      </c>
      <c r="T9" cm="1">
        <f t="array" ref="T9:U9">MMULT(M17:N17,$T$2:$U$3)</f>
        <v>-0.31255999127597772</v>
      </c>
      <c r="U9">
        <v>7.5672614301287106E-2</v>
      </c>
      <c r="W9" cm="1">
        <f t="array" ref="W9:X9">MMULT($M$17:$N$17, $W$2:$X$3)</f>
        <v>-1.9262193186258214E-2</v>
      </c>
      <c r="X9">
        <v>-7.1875363690158664E-2</v>
      </c>
      <c r="Z9" cm="1">
        <f t="array" ref="Z9:AA9">MMULT(M17:N17,$Z$2:$AA$3)</f>
        <v>-0.34470649121515934</v>
      </c>
      <c r="AA9">
        <v>-0.29227912223514069</v>
      </c>
    </row>
    <row r="10" spans="1:29" x14ac:dyDescent="0.25">
      <c r="A10" t="s">
        <v>6</v>
      </c>
      <c r="B10">
        <v>9</v>
      </c>
      <c r="C10">
        <v>0.33802125078046952</v>
      </c>
      <c r="D10">
        <v>3.7576720444569389E-2</v>
      </c>
      <c r="J10" s="1" t="s">
        <v>21</v>
      </c>
      <c r="K10" s="1" t="s">
        <v>9</v>
      </c>
      <c r="L10" s="1" t="s">
        <v>5</v>
      </c>
      <c r="M10" s="1" t="s">
        <v>7</v>
      </c>
      <c r="N10" s="1" t="s">
        <v>10</v>
      </c>
      <c r="O10" s="1" t="s">
        <v>24</v>
      </c>
      <c r="P10" s="1" t="s">
        <v>23</v>
      </c>
      <c r="T10" cm="1">
        <f t="array" ref="T10:U10">MMULT(M18:N18,$T$2:$U$3)</f>
        <v>9.4809100608110652E-2</v>
      </c>
      <c r="U10">
        <v>-0.24678976463798194</v>
      </c>
      <c r="W10" cm="1">
        <f t="array" ref="W10:X10">MMULT($M$18:$N$18, $W$2:$X$3)</f>
        <v>-0.19335807792586251</v>
      </c>
      <c r="X10">
        <v>-0.13188565654473558</v>
      </c>
      <c r="Z10" cm="1">
        <f t="array" ref="Z10:AA10">MMULT(M18:N18,$Z$2:$AA$3)</f>
        <v>0.1962117587833172</v>
      </c>
      <c r="AA10">
        <v>0.12562746083087936</v>
      </c>
    </row>
    <row r="11" spans="1:29" x14ac:dyDescent="0.25">
      <c r="A11" t="s">
        <v>38</v>
      </c>
      <c r="B11">
        <v>10</v>
      </c>
      <c r="C11">
        <v>0.64637951859917475</v>
      </c>
      <c r="D11">
        <v>0.35641278531168097</v>
      </c>
      <c r="J11">
        <v>31</v>
      </c>
      <c r="K11">
        <v>23</v>
      </c>
      <c r="L11">
        <v>8</v>
      </c>
      <c r="M11">
        <v>12</v>
      </c>
      <c r="N11">
        <v>29</v>
      </c>
      <c r="O11">
        <v>32</v>
      </c>
      <c r="P11">
        <v>34</v>
      </c>
      <c r="T11" cm="1">
        <f t="array" ref="T11:U11">MMULT(M19:N19,$T$2:$U$3)</f>
        <v>0.72346871402819046</v>
      </c>
      <c r="U11">
        <v>9.2024858429718553E-2</v>
      </c>
      <c r="W11" cm="1">
        <f t="array" ref="W11:X11">MMULT($M$19:$N$19, $W$2:$X$3)</f>
        <v>0.28236073031846765</v>
      </c>
      <c r="X11">
        <v>0.34981541380565473</v>
      </c>
      <c r="Z11" cm="1">
        <f t="array" ref="Z11:AA11">MMULT(M19:N19,$Z$2:$AA$3)</f>
        <v>0.68847716821526228</v>
      </c>
      <c r="AA11">
        <v>0.63239618100558581</v>
      </c>
    </row>
    <row r="12" spans="1:29" x14ac:dyDescent="0.25">
      <c r="A12" t="s">
        <v>20</v>
      </c>
      <c r="B12">
        <v>11</v>
      </c>
      <c r="C12">
        <v>0.38580940296706234</v>
      </c>
      <c r="D12">
        <v>0.49596156041768125</v>
      </c>
      <c r="J12" s="1" t="s">
        <v>28</v>
      </c>
      <c r="M12" s="1" t="s">
        <v>46</v>
      </c>
      <c r="W12" s="1" t="s">
        <v>32</v>
      </c>
    </row>
    <row r="13" spans="1:29" x14ac:dyDescent="0.25">
      <c r="A13" t="s">
        <v>7</v>
      </c>
      <c r="B13">
        <v>12</v>
      </c>
      <c r="C13">
        <v>0.81070385219890817</v>
      </c>
      <c r="D13">
        <v>0.5074373818712633</v>
      </c>
      <c r="I13">
        <v>31</v>
      </c>
      <c r="J13" cm="1">
        <f t="array" ref="J13:K13">C32:D32</f>
        <v>7.1295051506115037E-4</v>
      </c>
      <c r="K13">
        <v>0.49682042881753552</v>
      </c>
      <c r="M13" cm="1">
        <f t="array" ref="M13:N13">J13:K13+F2:G2</f>
        <v>7.1295051506115037E-4</v>
      </c>
      <c r="N13">
        <v>1.4968204288175355</v>
      </c>
      <c r="W13">
        <f>W5</f>
        <v>0.37380505031214956</v>
      </c>
      <c r="X13">
        <f>W6</f>
        <v>1.3309501768713641</v>
      </c>
      <c r="Y13">
        <f>W7</f>
        <v>0.43520628668543898</v>
      </c>
      <c r="Z13">
        <f>W8</f>
        <v>0.40544034369411347</v>
      </c>
      <c r="AA13">
        <f>W9</f>
        <v>-1.9262193186258214E-2</v>
      </c>
      <c r="AB13">
        <f>W10</f>
        <v>-0.19335807792586251</v>
      </c>
      <c r="AC13">
        <f>W11</f>
        <v>0.28236073031846765</v>
      </c>
    </row>
    <row r="14" spans="1:29" x14ac:dyDescent="0.25">
      <c r="A14" t="s">
        <v>39</v>
      </c>
      <c r="B14">
        <v>13</v>
      </c>
      <c r="C14">
        <v>2.078769915529044E-2</v>
      </c>
      <c r="D14">
        <v>0.34803215527527653</v>
      </c>
      <c r="I14">
        <v>23</v>
      </c>
      <c r="J14">
        <v>0.98378899693496202</v>
      </c>
      <c r="K14">
        <v>0.75287392602593572</v>
      </c>
      <c r="M14" cm="1">
        <f t="array" ref="M14:N14">J14:K14+F3:G3</f>
        <v>1.8252599817428585</v>
      </c>
      <c r="N14">
        <v>1.2931762318940754</v>
      </c>
      <c r="W14">
        <f>X5</f>
        <v>0.4777949897277165</v>
      </c>
      <c r="X14">
        <f>X6</f>
        <v>1.3318019239136039</v>
      </c>
      <c r="Y14">
        <f>X7</f>
        <v>0.36790338511278631</v>
      </c>
      <c r="Z14">
        <f>X8</f>
        <v>0.32548247767708605</v>
      </c>
      <c r="AA14">
        <f>X9</f>
        <v>-7.1875363690158664E-2</v>
      </c>
      <c r="AB14">
        <f>X10</f>
        <v>-0.13188565654473558</v>
      </c>
      <c r="AC14">
        <f>X11</f>
        <v>0.34981541380565473</v>
      </c>
    </row>
    <row r="15" spans="1:29" x14ac:dyDescent="0.25">
      <c r="A15" t="s">
        <v>40</v>
      </c>
      <c r="B15">
        <v>14</v>
      </c>
      <c r="C15">
        <v>0.47673590936625643</v>
      </c>
      <c r="D15">
        <v>0.96045516874912562</v>
      </c>
      <c r="I15">
        <v>8</v>
      </c>
      <c r="J15">
        <v>2.0999801088026904E-2</v>
      </c>
      <c r="K15">
        <v>0.10057824816997252</v>
      </c>
      <c r="M15" cm="1">
        <f t="array" ref="M15:N15">J15:K15+F4:G4</f>
        <v>0.93029722791370872</v>
      </c>
      <c r="N15">
        <v>-0.31556858837716978</v>
      </c>
      <c r="P15" s="1" t="s">
        <v>33</v>
      </c>
    </row>
    <row r="16" spans="1:29" x14ac:dyDescent="0.25">
      <c r="A16" t="s">
        <v>18</v>
      </c>
      <c r="B16">
        <v>15</v>
      </c>
      <c r="C16">
        <v>0.9442273943438122</v>
      </c>
      <c r="D16">
        <v>5.8964423775490604E-2</v>
      </c>
      <c r="I16">
        <v>12</v>
      </c>
      <c r="J16">
        <v>0.81070385219890817</v>
      </c>
      <c r="K16">
        <v>0.5074373818712633</v>
      </c>
      <c r="M16" cm="1">
        <f t="array" ref="M16:N16">J16:K16+F5:G5</f>
        <v>0.95182386025877563</v>
      </c>
      <c r="N16">
        <v>-0.48255511472918222</v>
      </c>
      <c r="P16" cm="1">
        <f t="array" ref="P16:V22">MMULT($T$5:$U$11,$W$13:$AC$14)/SQRT(2)</f>
        <v>0.30713194588388754</v>
      </c>
      <c r="Q16">
        <v>1.068284189872825</v>
      </c>
      <c r="R16">
        <v>0.34469373955929494</v>
      </c>
      <c r="S16">
        <v>0.31993767949220009</v>
      </c>
      <c r="T16">
        <v>-1.9059468790666657E-2</v>
      </c>
      <c r="U16">
        <v>-0.1509842983415208</v>
      </c>
      <c r="V16">
        <v>0.23123879277554532</v>
      </c>
      <c r="X16" s="1" t="s">
        <v>35</v>
      </c>
    </row>
    <row r="17" spans="1:25" x14ac:dyDescent="0.25">
      <c r="A17" t="s">
        <v>14</v>
      </c>
      <c r="B17">
        <v>16</v>
      </c>
      <c r="C17">
        <v>0.12179569605157825</v>
      </c>
      <c r="D17">
        <v>0.19977376201164643</v>
      </c>
      <c r="I17">
        <v>29</v>
      </c>
      <c r="J17">
        <v>0.98992697333592417</v>
      </c>
      <c r="K17">
        <v>6.0188972712772237E-2</v>
      </c>
      <c r="M17" cm="1">
        <f t="array" ref="M17:N17">J17:K17+F6:G6</f>
        <v>0.23312447802799596</v>
      </c>
      <c r="N17">
        <v>-0.59345464815083993</v>
      </c>
      <c r="P17">
        <v>0.7712979522790534</v>
      </c>
      <c r="Q17">
        <v>2.4915504856298076</v>
      </c>
      <c r="R17">
        <v>0.7681155754748481</v>
      </c>
      <c r="S17">
        <v>0.70368155467796878</v>
      </c>
      <c r="T17">
        <v>-7.2324982971555055E-2</v>
      </c>
      <c r="U17">
        <v>-0.31950016289298344</v>
      </c>
      <c r="V17">
        <v>0.57496425944810692</v>
      </c>
      <c r="X17" s="4" cm="1">
        <f t="array" ref="X17:Y23">MMULT(P25:V31,Z5:AA11)</f>
        <v>0.55441845981404103</v>
      </c>
      <c r="Y17" s="4">
        <v>0.57628167111895179</v>
      </c>
    </row>
    <row r="18" spans="1:25" x14ac:dyDescent="0.25">
      <c r="A18" t="s">
        <v>13</v>
      </c>
      <c r="B18">
        <v>17</v>
      </c>
      <c r="C18">
        <v>0.20711845285182351</v>
      </c>
      <c r="D18">
        <v>0.397089001055837</v>
      </c>
      <c r="I18">
        <v>32</v>
      </c>
      <c r="J18" cm="1">
        <f t="array" ref="J18:K18">C33:D33</f>
        <v>0.38982890016067018</v>
      </c>
      <c r="K18">
        <v>0.20149326989234473</v>
      </c>
      <c r="M18" cm="1">
        <f t="array" ref="M18:N18">J18:K18+F7:G7</f>
        <v>-0.5690953745024685</v>
      </c>
      <c r="N18">
        <v>0.48515545535557075</v>
      </c>
      <c r="P18">
        <v>0.19325043954123058</v>
      </c>
      <c r="Q18">
        <v>0.57466391069724543</v>
      </c>
      <c r="R18">
        <v>0.16716053979891107</v>
      </c>
      <c r="S18">
        <v>0.15042912574465123</v>
      </c>
      <c r="T18">
        <v>-2.446594221504007E-2</v>
      </c>
      <c r="U18">
        <v>-6.4575366558262556E-2</v>
      </c>
      <c r="V18">
        <v>0.14256874582042736</v>
      </c>
      <c r="X18" s="4">
        <v>0.84382326792383056</v>
      </c>
      <c r="Y18" s="4">
        <v>0.8793309900644547</v>
      </c>
    </row>
    <row r="19" spans="1:25" x14ac:dyDescent="0.25">
      <c r="A19" t="s">
        <v>15</v>
      </c>
      <c r="B19">
        <v>18</v>
      </c>
      <c r="C19">
        <v>0.47136971592009469</v>
      </c>
      <c r="D19">
        <v>0.58488673761005394</v>
      </c>
      <c r="I19">
        <v>34</v>
      </c>
      <c r="J19" cm="1">
        <f t="array" ref="J19:K19">C35:D35</f>
        <v>0.33470382958508882</v>
      </c>
      <c r="K19">
        <v>4.9240826168436946E-2</v>
      </c>
      <c r="M19" cm="1">
        <f t="array" ref="M19:N19">J19:K19+F8:G8</f>
        <v>5.5288331386162515E-2</v>
      </c>
      <c r="N19">
        <v>1.009411112818803</v>
      </c>
      <c r="P19">
        <v>0.16497767432807872</v>
      </c>
      <c r="Q19">
        <v>0.47405960610595771</v>
      </c>
      <c r="R19">
        <v>0.13427539850716053</v>
      </c>
      <c r="S19">
        <v>0.11979606950290078</v>
      </c>
      <c r="T19">
        <v>-2.3001090648687047E-2</v>
      </c>
      <c r="U19">
        <v>-4.9970120579040933E-2</v>
      </c>
      <c r="V19">
        <v>0.12121424454672658</v>
      </c>
      <c r="X19" s="4">
        <v>0.47650926273609617</v>
      </c>
      <c r="Y19" s="4">
        <v>0.49199168872827975</v>
      </c>
    </row>
    <row r="20" spans="1:25" x14ac:dyDescent="0.25">
      <c r="A20" t="s">
        <v>16</v>
      </c>
      <c r="B20">
        <v>19</v>
      </c>
      <c r="C20">
        <v>0.58891582803556697</v>
      </c>
      <c r="D20">
        <v>3.0469147678722663E-2</v>
      </c>
      <c r="P20">
        <v>-5.7049733815552235E-2</v>
      </c>
      <c r="Q20">
        <v>-0.2228947952024288</v>
      </c>
      <c r="R20">
        <v>-7.6500371009263282E-2</v>
      </c>
      <c r="S20">
        <v>-7.2191586199724031E-2</v>
      </c>
      <c r="T20">
        <v>4.1124924511897555E-4</v>
      </c>
      <c r="U20">
        <v>3.5677685515474108E-2</v>
      </c>
      <c r="V20">
        <v>-4.3687334192852943E-2</v>
      </c>
      <c r="X20" s="4">
        <v>0.46102443570630858</v>
      </c>
      <c r="Y20" s="4">
        <v>0.47545979969016972</v>
      </c>
    </row>
    <row r="21" spans="1:25" x14ac:dyDescent="0.25">
      <c r="A21" t="s">
        <v>41</v>
      </c>
      <c r="B21">
        <v>20</v>
      </c>
      <c r="C21">
        <v>0.45540786091413332</v>
      </c>
      <c r="D21">
        <v>0.31101924505921652</v>
      </c>
      <c r="G21" t="s">
        <v>34</v>
      </c>
      <c r="P21">
        <v>-5.8318485009329415E-2</v>
      </c>
      <c r="Q21">
        <v>-0.14318127014981188</v>
      </c>
      <c r="R21">
        <v>-3.502531337540063E-2</v>
      </c>
      <c r="S21">
        <v>-2.9618093644602418E-2</v>
      </c>
      <c r="T21">
        <v>1.1251393212446757E-2</v>
      </c>
      <c r="U21">
        <v>1.0052176738060869E-2</v>
      </c>
      <c r="V21">
        <v>-4.211563114367832E-2</v>
      </c>
      <c r="X21" s="4">
        <v>0.36182842237927587</v>
      </c>
      <c r="Y21" s="4">
        <v>0.37076232528320163</v>
      </c>
    </row>
    <row r="22" spans="1:25" x14ac:dyDescent="0.25">
      <c r="A22" t="s">
        <v>42</v>
      </c>
      <c r="B22">
        <v>21</v>
      </c>
      <c r="C22">
        <v>0.31460833183838954</v>
      </c>
      <c r="D22">
        <v>0.51780436863603507</v>
      </c>
      <c r="G22">
        <f>EXP(P16)</f>
        <v>1.3595203393509081</v>
      </c>
      <c r="H22">
        <f t="shared" ref="H22:M22" si="0">EXP(Q16)</f>
        <v>2.9103815512980225</v>
      </c>
      <c r="I22">
        <f t="shared" si="0"/>
        <v>1.4115575492249512</v>
      </c>
      <c r="J22">
        <f t="shared" si="0"/>
        <v>1.3770419437085986</v>
      </c>
      <c r="K22">
        <f t="shared" si="0"/>
        <v>0.98112101442766053</v>
      </c>
      <c r="L22">
        <f t="shared" si="0"/>
        <v>0.85986119980010889</v>
      </c>
      <c r="M22">
        <f t="shared" si="0"/>
        <v>1.2601601206565154</v>
      </c>
      <c r="N22">
        <f>SUM(G22:M22)</f>
        <v>10.159643718466764</v>
      </c>
      <c r="P22">
        <v>0.22231810222998696</v>
      </c>
      <c r="Q22">
        <v>0.76753591203004645</v>
      </c>
      <c r="R22">
        <v>0.24657830951003126</v>
      </c>
      <c r="S22">
        <v>0.22859056906132941</v>
      </c>
      <c r="T22">
        <v>-1.4530983755743921E-2</v>
      </c>
      <c r="U22">
        <v>-0.1074981055911548</v>
      </c>
      <c r="V22">
        <v>0.16721015458991614</v>
      </c>
      <c r="X22" s="4">
        <v>0.36539692007674751</v>
      </c>
      <c r="Y22" s="4">
        <v>0.37617873580215627</v>
      </c>
    </row>
    <row r="23" spans="1:25" x14ac:dyDescent="0.25">
      <c r="A23" t="s">
        <v>8</v>
      </c>
      <c r="B23">
        <v>22</v>
      </c>
      <c r="C23">
        <v>0.62318096779608734</v>
      </c>
      <c r="D23">
        <v>0.42210599136728622</v>
      </c>
      <c r="G23">
        <f t="shared" ref="G23:G25" si="1">EXP(P17)</f>
        <v>2.1625713473612307</v>
      </c>
      <c r="H23">
        <f t="shared" ref="H23:H25" si="2">EXP(Q17)</f>
        <v>12.079991460930534</v>
      </c>
      <c r="I23">
        <f t="shared" ref="I23:I25" si="3">EXP(R17)</f>
        <v>2.1557001696053031</v>
      </c>
      <c r="J23">
        <f t="shared" ref="J23:J25" si="4">EXP(S17)</f>
        <v>2.0211801119796893</v>
      </c>
      <c r="K23">
        <f t="shared" ref="K23:K25" si="5">EXP(T17)</f>
        <v>0.93022853824875185</v>
      </c>
      <c r="L23">
        <f t="shared" ref="L23:L25" si="6">EXP(U17)</f>
        <v>0.72651208403225687</v>
      </c>
      <c r="M23">
        <f t="shared" ref="M23:M25" si="7">EXP(V17)</f>
        <v>1.7770670124232486</v>
      </c>
      <c r="N23">
        <f t="shared" ref="N23:N28" si="8">SUM(G23:M23)</f>
        <v>21.853250724581017</v>
      </c>
      <c r="X23" s="4">
        <v>0.50196699514852583</v>
      </c>
      <c r="Y23" s="4">
        <v>0.52059538832917107</v>
      </c>
    </row>
    <row r="24" spans="1:25" x14ac:dyDescent="0.25">
      <c r="A24" t="s">
        <v>9</v>
      </c>
      <c r="B24">
        <v>23</v>
      </c>
      <c r="C24">
        <v>0.98378899693496202</v>
      </c>
      <c r="D24">
        <v>0.75287392602593572</v>
      </c>
      <c r="G24">
        <f t="shared" si="1"/>
        <v>1.2131865853686528</v>
      </c>
      <c r="H24">
        <f t="shared" si="2"/>
        <v>1.7765333527118958</v>
      </c>
      <c r="I24">
        <f t="shared" si="3"/>
        <v>1.1819439991299838</v>
      </c>
      <c r="J24">
        <f t="shared" si="4"/>
        <v>1.1623329227034105</v>
      </c>
      <c r="K24">
        <f t="shared" si="5"/>
        <v>0.9758309229921972</v>
      </c>
      <c r="L24">
        <f t="shared" si="6"/>
        <v>0.93746545805446202</v>
      </c>
      <c r="M24">
        <f t="shared" si="7"/>
        <v>1.1532323581369546</v>
      </c>
      <c r="N24">
        <f t="shared" si="8"/>
        <v>8.4005255990975574</v>
      </c>
      <c r="P24" s="1" t="s">
        <v>48</v>
      </c>
    </row>
    <row r="25" spans="1:25" x14ac:dyDescent="0.25">
      <c r="A25" t="s">
        <v>44</v>
      </c>
      <c r="B25">
        <v>24</v>
      </c>
      <c r="C25">
        <v>0.29552167918735339</v>
      </c>
      <c r="D25">
        <v>0.40381694979541527</v>
      </c>
      <c r="G25">
        <f t="shared" si="1"/>
        <v>1.1793667882614796</v>
      </c>
      <c r="H25">
        <f t="shared" si="2"/>
        <v>1.6065027415462891</v>
      </c>
      <c r="I25">
        <f t="shared" si="3"/>
        <v>1.1437077516841914</v>
      </c>
      <c r="J25">
        <f t="shared" si="4"/>
        <v>1.1272669440293326</v>
      </c>
      <c r="K25">
        <f t="shared" si="5"/>
        <v>0.97726141792381349</v>
      </c>
      <c r="L25">
        <f t="shared" si="6"/>
        <v>0.95125784710974071</v>
      </c>
      <c r="M25">
        <f t="shared" si="7"/>
        <v>1.1288667400043197</v>
      </c>
      <c r="N25">
        <f t="shared" si="8"/>
        <v>8.1142302305591656</v>
      </c>
      <c r="P25" s="5">
        <f>G22/$N22</f>
        <v>0.13381574955032766</v>
      </c>
      <c r="Q25" s="5">
        <f t="shared" ref="Q25:V25" si="9">H22/$N22</f>
        <v>0.2864649225846318</v>
      </c>
      <c r="R25" s="5">
        <f t="shared" si="9"/>
        <v>0.13893770178763468</v>
      </c>
      <c r="S25" s="5">
        <f t="shared" si="9"/>
        <v>0.13554037738603042</v>
      </c>
      <c r="T25" s="5">
        <f t="shared" si="9"/>
        <v>9.6570415421587813E-2</v>
      </c>
      <c r="U25" s="5">
        <f t="shared" si="9"/>
        <v>8.4634975755810679E-2</v>
      </c>
      <c r="V25" s="5">
        <f t="shared" si="9"/>
        <v>0.12403585751397704</v>
      </c>
    </row>
    <row r="26" spans="1:25" x14ac:dyDescent="0.25">
      <c r="A26" t="s">
        <v>12</v>
      </c>
      <c r="B26">
        <v>25</v>
      </c>
      <c r="C26">
        <v>0.97845965740992891</v>
      </c>
      <c r="D26">
        <v>2.475673783198995E-2</v>
      </c>
      <c r="G26">
        <f t="shared" ref="G26:G28" si="10">EXP(P20)</f>
        <v>0.94454709226749056</v>
      </c>
      <c r="H26">
        <f t="shared" ref="H26:H28" si="11">EXP(Q20)</f>
        <v>0.80019902964331857</v>
      </c>
      <c r="I26">
        <f t="shared" ref="I26:I28" si="12">EXP(R20)</f>
        <v>0.92635257060337362</v>
      </c>
      <c r="J26">
        <f t="shared" ref="J26:J28" si="13">EXP(S20)</f>
        <v>0.93035263600975571</v>
      </c>
      <c r="K26">
        <f t="shared" ref="K26:K28" si="14">EXP(T20)</f>
        <v>1.0004113338196832</v>
      </c>
      <c r="L26">
        <f t="shared" ref="L26:L28" si="15">EXP(U20)</f>
        <v>1.036321771137686</v>
      </c>
      <c r="M26">
        <f t="shared" ref="M26:M28" si="16">EXP(V20)</f>
        <v>0.95725321103530292</v>
      </c>
      <c r="N26">
        <f t="shared" si="8"/>
        <v>6.5954376445166103</v>
      </c>
      <c r="P26" s="5">
        <f t="shared" ref="P26:P31" si="17">G23/$N23</f>
        <v>9.8958794488580276E-2</v>
      </c>
      <c r="Q26" s="5">
        <f t="shared" ref="Q26:Q31" si="18">H23/$N23</f>
        <v>0.55277778181269366</v>
      </c>
      <c r="R26" s="5">
        <f t="shared" ref="R26:R31" si="19">I23/$N23</f>
        <v>9.8644370888973695E-2</v>
      </c>
      <c r="S26" s="5">
        <f t="shared" ref="S26:S31" si="20">J23/$N23</f>
        <v>9.2488762310598549E-2</v>
      </c>
      <c r="T26" s="5">
        <f t="shared" ref="T26:T31" si="21">K23/$N23</f>
        <v>4.2567055582372025E-2</v>
      </c>
      <c r="U26" s="5">
        <f t="shared" ref="U26:U31" si="22">L23/$N23</f>
        <v>3.3245034946451243E-2</v>
      </c>
      <c r="V26" s="5">
        <f t="shared" ref="V26:V31" si="23">M23/$N23</f>
        <v>8.1318199970330476E-2</v>
      </c>
    </row>
    <row r="27" spans="1:25" x14ac:dyDescent="0.25">
      <c r="A27" t="s">
        <v>11</v>
      </c>
      <c r="B27">
        <v>26</v>
      </c>
      <c r="C27">
        <v>0.95912499746793811</v>
      </c>
      <c r="D27">
        <v>0.62723884678741515</v>
      </c>
      <c r="G27">
        <f t="shared" si="10"/>
        <v>0.94334945692788663</v>
      </c>
      <c r="H27">
        <f t="shared" si="11"/>
        <v>0.86659696649498819</v>
      </c>
      <c r="I27">
        <f t="shared" si="12"/>
        <v>0.96558097383453734</v>
      </c>
      <c r="J27">
        <f t="shared" si="13"/>
        <v>0.97081622364528397</v>
      </c>
      <c r="K27">
        <f t="shared" si="14"/>
        <v>1.0113149281991756</v>
      </c>
      <c r="L27">
        <f t="shared" si="15"/>
        <v>1.0101028695820746</v>
      </c>
      <c r="M27">
        <f t="shared" si="16"/>
        <v>0.95875891177318495</v>
      </c>
      <c r="N27">
        <f t="shared" si="8"/>
        <v>6.7265203304571308</v>
      </c>
      <c r="P27" s="5">
        <f t="shared" si="17"/>
        <v>0.14441793802747077</v>
      </c>
      <c r="Q27" s="5">
        <f t="shared" si="18"/>
        <v>0.21147883328904366</v>
      </c>
      <c r="R27" s="5">
        <f t="shared" si="19"/>
        <v>0.14069881523329403</v>
      </c>
      <c r="S27" s="5">
        <f t="shared" si="20"/>
        <v>0.13836430935086685</v>
      </c>
      <c r="T27" s="5">
        <f t="shared" si="21"/>
        <v>0.11616307949790995</v>
      </c>
      <c r="U27" s="5">
        <f t="shared" si="22"/>
        <v>0.11159604800861163</v>
      </c>
      <c r="V27" s="5">
        <f t="shared" si="23"/>
        <v>0.13728097659280306</v>
      </c>
    </row>
    <row r="28" spans="1:25" x14ac:dyDescent="0.25">
      <c r="A28" t="s">
        <v>19</v>
      </c>
      <c r="B28">
        <v>27</v>
      </c>
      <c r="C28">
        <v>7.22102265104132E-2</v>
      </c>
      <c r="D28">
        <v>0.6577794884813386</v>
      </c>
      <c r="G28">
        <f t="shared" si="10"/>
        <v>1.2489686143814414</v>
      </c>
      <c r="H28">
        <f t="shared" si="11"/>
        <v>2.154450951117155</v>
      </c>
      <c r="I28">
        <f t="shared" si="12"/>
        <v>1.2796393872275187</v>
      </c>
      <c r="J28">
        <f t="shared" si="13"/>
        <v>1.256827349650641</v>
      </c>
      <c r="K28">
        <f t="shared" si="14"/>
        <v>0.98557408147269743</v>
      </c>
      <c r="L28">
        <f t="shared" si="15"/>
        <v>0.89807822377652191</v>
      </c>
      <c r="M28">
        <f t="shared" si="16"/>
        <v>1.1820026424892571</v>
      </c>
      <c r="N28">
        <f t="shared" si="8"/>
        <v>9.0055412501152325</v>
      </c>
      <c r="P28" s="5">
        <f t="shared" si="17"/>
        <v>0.14534549239431765</v>
      </c>
      <c r="Q28" s="5">
        <f t="shared" si="18"/>
        <v>0.19798584658049348</v>
      </c>
      <c r="R28" s="5">
        <f t="shared" si="19"/>
        <v>0.14095086276660609</v>
      </c>
      <c r="S28" s="5">
        <f t="shared" si="20"/>
        <v>0.13892469303913882</v>
      </c>
      <c r="T28" s="5">
        <f t="shared" si="21"/>
        <v>0.12043797010384664</v>
      </c>
      <c r="U28" s="5">
        <f t="shared" si="22"/>
        <v>0.11723328277366218</v>
      </c>
      <c r="V28" s="5">
        <f t="shared" si="23"/>
        <v>0.13912185234193528</v>
      </c>
    </row>
    <row r="29" spans="1:25" x14ac:dyDescent="0.25">
      <c r="A29" t="s">
        <v>2</v>
      </c>
      <c r="B29">
        <v>28</v>
      </c>
      <c r="C29">
        <v>0.37470441107830665</v>
      </c>
      <c r="D29">
        <v>0.35025867613473483</v>
      </c>
      <c r="P29" s="5">
        <f t="shared" si="17"/>
        <v>0.14321219351573716</v>
      </c>
      <c r="Q29" s="5">
        <f t="shared" si="18"/>
        <v>0.12132614585608237</v>
      </c>
      <c r="R29" s="5">
        <f t="shared" si="19"/>
        <v>0.14045354084630535</v>
      </c>
      <c r="S29" s="5">
        <f t="shared" si="20"/>
        <v>0.14106003060816485</v>
      </c>
      <c r="T29" s="5">
        <f t="shared" si="21"/>
        <v>0.15168232765439249</v>
      </c>
      <c r="U29" s="5">
        <f t="shared" si="22"/>
        <v>0.15712706676853733</v>
      </c>
      <c r="V29" s="5">
        <f t="shared" si="23"/>
        <v>0.14513869475078048</v>
      </c>
    </row>
    <row r="30" spans="1:25" x14ac:dyDescent="0.25">
      <c r="A30" t="s">
        <v>10</v>
      </c>
      <c r="B30">
        <v>29</v>
      </c>
      <c r="C30">
        <v>0.98992697333592417</v>
      </c>
      <c r="D30">
        <v>6.0188972712772237E-2</v>
      </c>
      <c r="P30" s="5">
        <f t="shared" si="17"/>
        <v>0.14024330717569944</v>
      </c>
      <c r="Q30" s="5">
        <f t="shared" si="18"/>
        <v>0.12883287701831636</v>
      </c>
      <c r="R30" s="5">
        <f t="shared" si="19"/>
        <v>0.14354836176774283</v>
      </c>
      <c r="S30" s="5">
        <f t="shared" si="20"/>
        <v>0.14432666162466021</v>
      </c>
      <c r="T30" s="5">
        <f t="shared" si="21"/>
        <v>0.15034741270609484</v>
      </c>
      <c r="U30" s="5">
        <f t="shared" si="22"/>
        <v>0.15016722167751606</v>
      </c>
      <c r="V30" s="5">
        <f t="shared" si="23"/>
        <v>0.14253415802997033</v>
      </c>
    </row>
    <row r="31" spans="1:25" x14ac:dyDescent="0.25">
      <c r="A31" t="s">
        <v>17</v>
      </c>
      <c r="B31">
        <v>30</v>
      </c>
      <c r="C31">
        <v>0.72182760767391863</v>
      </c>
      <c r="D31">
        <v>0.59102005824843074</v>
      </c>
      <c r="P31" s="5">
        <f t="shared" si="17"/>
        <v>0.13868890049950744</v>
      </c>
      <c r="Q31" s="5">
        <f t="shared" si="18"/>
        <v>0.23923614264601667</v>
      </c>
      <c r="R31" s="5">
        <f t="shared" si="19"/>
        <v>0.14209466723736841</v>
      </c>
      <c r="S31" s="5">
        <f t="shared" si="20"/>
        <v>0.13956155601803044</v>
      </c>
      <c r="T31" s="5">
        <f t="shared" si="21"/>
        <v>0.10944084915052565</v>
      </c>
      <c r="U31" s="5">
        <f t="shared" si="22"/>
        <v>9.9725069136186603E-2</v>
      </c>
      <c r="V31" s="5">
        <f t="shared" si="23"/>
        <v>0.13125281531236477</v>
      </c>
    </row>
    <row r="32" spans="1:25" x14ac:dyDescent="0.25">
      <c r="A32" t="s">
        <v>21</v>
      </c>
      <c r="B32">
        <v>31</v>
      </c>
      <c r="C32">
        <v>7.1295051506115037E-4</v>
      </c>
      <c r="D32">
        <v>0.49682042881753552</v>
      </c>
    </row>
    <row r="33" spans="1:4" x14ac:dyDescent="0.25">
      <c r="A33" t="s">
        <v>24</v>
      </c>
      <c r="B33">
        <v>32</v>
      </c>
      <c r="C33">
        <v>0.38982890016067018</v>
      </c>
      <c r="D33">
        <v>0.20149326989234473</v>
      </c>
    </row>
    <row r="34" spans="1:4" x14ac:dyDescent="0.25">
      <c r="A34" t="s">
        <v>22</v>
      </c>
      <c r="B34">
        <v>33</v>
      </c>
      <c r="C34">
        <v>3.6234128118902809E-2</v>
      </c>
      <c r="D34">
        <v>0.41723688063154496</v>
      </c>
    </row>
    <row r="35" spans="1:4" x14ac:dyDescent="0.25">
      <c r="A35" t="s">
        <v>23</v>
      </c>
      <c r="B35">
        <v>34</v>
      </c>
      <c r="C35">
        <v>0.33470382958508882</v>
      </c>
      <c r="D35">
        <v>4.9240826168436946E-2</v>
      </c>
    </row>
    <row r="36" spans="1:4" x14ac:dyDescent="0.25">
      <c r="C36">
        <f ca="1">RAND()</f>
        <v>9.4142738725946917E-2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8E5CC-59D9-4B27-B38A-10A8A3A49871}">
  <sheetPr codeName="Sheet2"/>
  <dimension ref="A1:Z36"/>
  <sheetViews>
    <sheetView tabSelected="1" zoomScale="85" zoomScaleNormal="85" workbookViewId="0">
      <selection activeCell="N34" sqref="N34"/>
    </sheetView>
  </sheetViews>
  <sheetFormatPr defaultRowHeight="15" x14ac:dyDescent="0.25"/>
  <cols>
    <col min="19" max="19" width="12.7109375" bestFit="1" customWidth="1"/>
    <col min="24" max="24" width="12.28515625" bestFit="1" customWidth="1"/>
  </cols>
  <sheetData>
    <row r="1" spans="1:26" x14ac:dyDescent="0.25">
      <c r="A1">
        <f ca="1">RAND() *2 - 1</f>
        <v>4.5852762744093667E-2</v>
      </c>
      <c r="B1">
        <f ca="1">RAND()</f>
        <v>0.51844176239015927</v>
      </c>
    </row>
    <row r="2" spans="1:26" x14ac:dyDescent="0.25">
      <c r="Q2" t="s">
        <v>83</v>
      </c>
    </row>
    <row r="3" spans="1:26" x14ac:dyDescent="0.25">
      <c r="D3" t="s">
        <v>60</v>
      </c>
      <c r="G3" t="s">
        <v>61</v>
      </c>
      <c r="I3" t="s">
        <v>62</v>
      </c>
      <c r="O3" t="s">
        <v>63</v>
      </c>
      <c r="Q3" t="s">
        <v>64</v>
      </c>
      <c r="R3" t="s">
        <v>69</v>
      </c>
      <c r="T3" t="s">
        <v>65</v>
      </c>
      <c r="U3" s="6" t="s">
        <v>71</v>
      </c>
      <c r="W3" s="1" t="s">
        <v>81</v>
      </c>
      <c r="Z3" s="2" t="s">
        <v>66</v>
      </c>
    </row>
    <row r="4" spans="1:26" x14ac:dyDescent="0.25">
      <c r="A4" s="4" t="s">
        <v>67</v>
      </c>
      <c r="B4" t="s">
        <v>68</v>
      </c>
      <c r="D4">
        <f>D12+D18</f>
        <v>-0.12292917566852646</v>
      </c>
      <c r="E4">
        <f>E12+E18</f>
        <v>0.70928416223492663</v>
      </c>
      <c r="G4">
        <f>G12+G18</f>
        <v>0.8711502394261359</v>
      </c>
      <c r="I4">
        <f>I12+I18</f>
        <v>0.47684826523597779</v>
      </c>
      <c r="J4">
        <f t="shared" ref="J4:O4" si="0">J12+J18</f>
        <v>0.77977681167859281</v>
      </c>
      <c r="K4">
        <f t="shared" si="0"/>
        <v>0.48953515458338637</v>
      </c>
      <c r="L4">
        <f t="shared" si="0"/>
        <v>-0.74813309231572456</v>
      </c>
      <c r="M4">
        <f t="shared" si="0"/>
        <v>-0.90715602022424724</v>
      </c>
      <c r="O4">
        <f t="shared" si="0"/>
        <v>0.80724936271039427</v>
      </c>
      <c r="Q4" cm="1">
        <f t="array" aca="1" ref="Q4" ca="1">MMULT(D4:E4, $B$5:$B$6) + G4</f>
        <v>0.91125198026914445</v>
      </c>
      <c r="R4">
        <f ca="1">(2/(1+EXP(-Q4)) - 1) * 2</f>
        <v>0.85302515321986006</v>
      </c>
      <c r="T4" cm="1">
        <f t="array" aca="1" ref="T4" ca="1">MMULT(I4:M4, R4:R8) + O4</f>
        <v>0.64985467548747011</v>
      </c>
      <c r="U4" s="6">
        <f ca="1">1/(1+EXP(-T4))</f>
        <v>0.65697771337952482</v>
      </c>
      <c r="W4" s="1">
        <f ca="1">((SIN(2*PI()*omega_in)-SIN(2*PI()*omega_out))^2+(COS(2*PI()*omega_in)-COS(2*PI()*omega_out))^2)</f>
        <v>0.71103042358141744</v>
      </c>
      <c r="Z4" s="2">
        <v>0.1</v>
      </c>
    </row>
    <row r="5" spans="1:26" x14ac:dyDescent="0.25">
      <c r="A5" s="4">
        <f ca="1">B1</f>
        <v>0.51844176239015927</v>
      </c>
      <c r="B5">
        <f ca="1">COS(2*PI()*$A$5)</f>
        <v>-0.99329423070791123</v>
      </c>
      <c r="D5">
        <f t="shared" ref="D5:E5" si="1">D13+D19</f>
        <v>0.99190770140255724</v>
      </c>
      <c r="E5">
        <f t="shared" si="1"/>
        <v>0.58367538667381846</v>
      </c>
      <c r="G5">
        <f t="shared" ref="G5:G8" si="2">G13+G19</f>
        <v>0.87918993545767776</v>
      </c>
      <c r="Q5" cm="1">
        <f t="array" aca="1" ref="Q5" ca="1">MMULT(D5:E5, $B$5:$B$6) + G5</f>
        <v>-0.17354724288673551</v>
      </c>
      <c r="R5">
        <f t="shared" ref="R5:R8" ca="1" si="3">(2/(1+EXP(-Q5)) - 1) * 2</f>
        <v>-0.17311296682981703</v>
      </c>
    </row>
    <row r="6" spans="1:26" x14ac:dyDescent="0.25">
      <c r="B6">
        <f ca="1">SIN(2*PI()*$A$5)</f>
        <v>-0.11561388862233947</v>
      </c>
      <c r="D6">
        <f t="shared" ref="D6:E6" si="4">D14+D20</f>
        <v>-0.57225912408802104</v>
      </c>
      <c r="E6">
        <f t="shared" si="4"/>
        <v>0.46673431860599801</v>
      </c>
      <c r="G6">
        <f t="shared" si="2"/>
        <v>0.60388338785957929</v>
      </c>
      <c r="Q6" cm="1">
        <f t="array" aca="1" ref="Q6" ca="1">MMULT(D6:E6, $B$5:$B$6) + G6</f>
        <v>1.118344104758636</v>
      </c>
      <c r="R6">
        <f t="shared" ca="1" si="3"/>
        <v>1.0147257428761072</v>
      </c>
      <c r="T6" s="1" t="s">
        <v>70</v>
      </c>
    </row>
    <row r="7" spans="1:26" x14ac:dyDescent="0.25">
      <c r="D7">
        <f t="shared" ref="D7:E7" si="5">D15+D21</f>
        <v>-0.55370785461211258</v>
      </c>
      <c r="E7">
        <f t="shared" si="5"/>
        <v>-0.75057473770296124</v>
      </c>
      <c r="G7">
        <f t="shared" si="2"/>
        <v>-0.15284524257107845</v>
      </c>
      <c r="Q7" cm="1">
        <f t="array" aca="1" ref="Q7" ca="1">MMULT(D7:E7, $B$5:$B$6) + G7</f>
        <v>0.48392643904031973</v>
      </c>
      <c r="R7">
        <f t="shared" ca="1" si="3"/>
        <v>0.47469846608305177</v>
      </c>
      <c r="T7">
        <f ca="1">2*(SIN(2*PI()*omega_out) - SIN(2*PI()*omega_in))</f>
        <v>-1.4367745786183408</v>
      </c>
      <c r="U7">
        <f ca="1">2*(COS(2*PI()*omega_out) - COS(2*PI()*omega_in))</f>
        <v>0.88306313735868214</v>
      </c>
      <c r="W7">
        <f ca="1">COS(2*PI()*omega_out)*2*PI()</f>
        <v>-3.4668270511082078</v>
      </c>
      <c r="X7">
        <f ca="1">-SIN(2*PI()*omega_out)*2*PI()</f>
        <v>5.2401839473497303</v>
      </c>
    </row>
    <row r="8" spans="1:26" x14ac:dyDescent="0.25">
      <c r="D8">
        <f t="shared" ref="D8:E8" si="6">D16+D22</f>
        <v>-0.25986863006593319</v>
      </c>
      <c r="E8">
        <f t="shared" si="6"/>
        <v>-0.62391669144798256</v>
      </c>
      <c r="G8">
        <f t="shared" si="2"/>
        <v>0.32101648299184471</v>
      </c>
      <c r="Q8" cm="1">
        <f t="array" aca="1" ref="Q8" ca="1">MMULT(D8:E8, $B$5:$B$6) + G8</f>
        <v>0.65127592885299013</v>
      </c>
      <c r="R8">
        <f t="shared" ca="1" si="3"/>
        <v>0.62919173078182222</v>
      </c>
      <c r="T8">
        <f ca="1">dE_d_deltaY*d_deltaY_d_omega_pr + dE_d_deltaX*d_deltaX_d_omega_pr</f>
        <v>9.6084622523819156</v>
      </c>
      <c r="U8" s="5" t="s">
        <v>86</v>
      </c>
    </row>
    <row r="9" spans="1:26" x14ac:dyDescent="0.25">
      <c r="T9">
        <f ca="1">T8*U4*(1-U4)</f>
        <v>2.1653438122716495</v>
      </c>
      <c r="U9" s="5" t="s">
        <v>72</v>
      </c>
      <c r="Y9" s="5" t="s">
        <v>75</v>
      </c>
    </row>
    <row r="10" spans="1:26" x14ac:dyDescent="0.25">
      <c r="T10">
        <f ca="1">R4*$T$9</f>
        <v>1.8470927372366996</v>
      </c>
      <c r="U10" s="5" t="s">
        <v>73</v>
      </c>
      <c r="Y10" s="7">
        <f ca="1">-T10*$Z$4</f>
        <v>-0.18470927372366996</v>
      </c>
    </row>
    <row r="11" spans="1:26" x14ac:dyDescent="0.25">
      <c r="D11" t="s">
        <v>56</v>
      </c>
      <c r="G11" t="s">
        <v>57</v>
      </c>
      <c r="I11" t="s">
        <v>58</v>
      </c>
      <c r="O11" t="s">
        <v>59</v>
      </c>
      <c r="T11">
        <f t="shared" ref="T11:T14" ca="1" si="7">R5*$T$9</f>
        <v>-0.37484909154893159</v>
      </c>
      <c r="Y11" s="7">
        <f t="shared" ref="Y11:Y15" ca="1" si="8">-T11*$Z$4</f>
        <v>3.7484909154893165E-2</v>
      </c>
    </row>
    <row r="12" spans="1:26" x14ac:dyDescent="0.25">
      <c r="D12">
        <v>-0.12292917566852646</v>
      </c>
      <c r="E12">
        <v>0.70928416223492663</v>
      </c>
      <c r="G12">
        <v>0.8711502394261359</v>
      </c>
      <c r="I12">
        <v>0.47684826523597779</v>
      </c>
      <c r="J12">
        <v>0.77977681167859281</v>
      </c>
      <c r="K12">
        <v>0.48953515458338637</v>
      </c>
      <c r="L12">
        <v>-0.74813309231572456</v>
      </c>
      <c r="M12">
        <v>-0.90715602022424724</v>
      </c>
      <c r="O12">
        <v>0.80724936271039427</v>
      </c>
      <c r="T12">
        <f t="shared" ca="1" si="7"/>
        <v>2.1972301084895314</v>
      </c>
      <c r="Y12" s="7">
        <f t="shared" ca="1" si="8"/>
        <v>-0.21972301084895315</v>
      </c>
    </row>
    <row r="13" spans="1:26" x14ac:dyDescent="0.25">
      <c r="D13">
        <v>0.99190770140255724</v>
      </c>
      <c r="E13">
        <v>0.58367538667381846</v>
      </c>
      <c r="G13">
        <v>0.87918993545767776</v>
      </c>
      <c r="T13">
        <f t="shared" ca="1" si="7"/>
        <v>1.0278853862277797</v>
      </c>
      <c r="Y13" s="7">
        <f t="shared" ca="1" si="8"/>
        <v>-0.10278853862277798</v>
      </c>
    </row>
    <row r="14" spans="1:26" x14ac:dyDescent="0.25">
      <c r="D14">
        <v>-0.57225912408802104</v>
      </c>
      <c r="E14">
        <v>0.46673431860599801</v>
      </c>
      <c r="G14">
        <v>0.60388338785957929</v>
      </c>
      <c r="T14">
        <f t="shared" ca="1" si="7"/>
        <v>1.3624164209809082</v>
      </c>
      <c r="Y14" s="7">
        <f t="shared" ca="1" si="8"/>
        <v>-0.13624164209809084</v>
      </c>
    </row>
    <row r="15" spans="1:26" x14ac:dyDescent="0.25">
      <c r="D15">
        <v>-0.55370785461211258</v>
      </c>
      <c r="E15">
        <v>-0.75057473770296124</v>
      </c>
      <c r="G15">
        <v>-0.15284524257107845</v>
      </c>
      <c r="T15">
        <f ca="1">T9</f>
        <v>2.1653438122716495</v>
      </c>
      <c r="U15" s="5" t="s">
        <v>74</v>
      </c>
      <c r="Y15" s="7">
        <f t="shared" ca="1" si="8"/>
        <v>-0.21653438122716495</v>
      </c>
    </row>
    <row r="16" spans="1:26" x14ac:dyDescent="0.25">
      <c r="D16">
        <v>-0.25986863006593319</v>
      </c>
      <c r="E16">
        <v>-0.62391669144798256</v>
      </c>
      <c r="G16">
        <v>0.32101648299184471</v>
      </c>
    </row>
    <row r="17" spans="4:25" x14ac:dyDescent="0.25">
      <c r="D17" t="s">
        <v>52</v>
      </c>
      <c r="G17" t="s">
        <v>53</v>
      </c>
      <c r="I17" t="s">
        <v>54</v>
      </c>
      <c r="O17" t="s">
        <v>55</v>
      </c>
      <c r="T17" cm="1">
        <f t="array" aca="1" ref="T17:T21" ca="1">TRANSPOSE(I4:M4)*$T$9</f>
        <v>1.0325404405211949</v>
      </c>
      <c r="U17" s="5" t="s">
        <v>76</v>
      </c>
    </row>
    <row r="18" spans="4:25" x14ac:dyDescent="0.25">
      <c r="D18">
        <v>0</v>
      </c>
      <c r="E18">
        <v>0</v>
      </c>
      <c r="G18">
        <v>0</v>
      </c>
      <c r="I18">
        <v>0</v>
      </c>
      <c r="J18">
        <v>0</v>
      </c>
      <c r="K18">
        <v>0</v>
      </c>
      <c r="L18">
        <v>0</v>
      </c>
      <c r="M18">
        <v>0</v>
      </c>
      <c r="O18">
        <v>0</v>
      </c>
      <c r="T18">
        <f ca="1"/>
        <v>1.6884848941211563</v>
      </c>
    </row>
    <row r="19" spans="4:25" x14ac:dyDescent="0.25">
      <c r="D19">
        <v>0</v>
      </c>
      <c r="E19">
        <v>0</v>
      </c>
      <c r="G19">
        <v>0</v>
      </c>
      <c r="T19">
        <f ca="1"/>
        <v>1.060011917866581</v>
      </c>
    </row>
    <row r="20" spans="4:25" x14ac:dyDescent="0.25">
      <c r="D20">
        <v>0</v>
      </c>
      <c r="E20">
        <v>0</v>
      </c>
      <c r="G20">
        <v>0</v>
      </c>
      <c r="T20">
        <f ca="1"/>
        <v>-1.6199653622015089</v>
      </c>
    </row>
    <row r="21" spans="4:25" x14ac:dyDescent="0.25">
      <c r="D21">
        <v>0</v>
      </c>
      <c r="E21">
        <v>0</v>
      </c>
      <c r="G21">
        <v>0</v>
      </c>
      <c r="T21">
        <f ca="1"/>
        <v>-1.964304675157549</v>
      </c>
    </row>
    <row r="22" spans="4:25" x14ac:dyDescent="0.25">
      <c r="D22">
        <v>0</v>
      </c>
      <c r="E22">
        <v>0</v>
      </c>
      <c r="G22">
        <v>0</v>
      </c>
      <c r="J22" t="s">
        <v>78</v>
      </c>
      <c r="K22">
        <v>10000</v>
      </c>
      <c r="M22" t="s">
        <v>79</v>
      </c>
      <c r="N22" t="s">
        <v>80</v>
      </c>
      <c r="P22" t="s">
        <v>81</v>
      </c>
      <c r="T22">
        <f ca="1">T17*(1-R4^2)</f>
        <v>0.28121041473202096</v>
      </c>
      <c r="U22" s="5" t="s">
        <v>84</v>
      </c>
    </row>
    <row r="23" spans="4:25" x14ac:dyDescent="0.25">
      <c r="K23">
        <v>0</v>
      </c>
      <c r="M23" s="3">
        <f ca="1">A5</f>
        <v>0.51844176239015927</v>
      </c>
      <c r="N23" s="1">
        <f ca="1">U4</f>
        <v>0.65697771337952482</v>
      </c>
      <c r="P23" s="1">
        <f ca="1">SQRT( W4)</f>
        <v>0.8432261995345125</v>
      </c>
      <c r="T23">
        <f t="shared" ref="T23:T26" ca="1" si="9">T18*(1-R5^2)</f>
        <v>1.6378842111735503</v>
      </c>
    </row>
    <row r="24" spans="4:25" x14ac:dyDescent="0.25">
      <c r="T24">
        <f t="shared" ca="1" si="9"/>
        <v>-3.1448786834032939E-2</v>
      </c>
    </row>
    <row r="25" spans="4:25" x14ac:dyDescent="0.25">
      <c r="T25">
        <f t="shared" ca="1" si="9"/>
        <v>-1.2549245808390996</v>
      </c>
    </row>
    <row r="26" spans="4:25" x14ac:dyDescent="0.25">
      <c r="T26">
        <f t="shared" ca="1" si="9"/>
        <v>-1.1866713519340906</v>
      </c>
      <c r="Y26" s="5" t="s">
        <v>75</v>
      </c>
    </row>
    <row r="27" spans="4:25" x14ac:dyDescent="0.25">
      <c r="G27" t="s">
        <v>82</v>
      </c>
      <c r="S27" cm="1">
        <f t="array" aca="1" ref="S27:T31" ca="1">MMULT(T22:T26, TRANSPOSE(B5:B6))</f>
        <v>-0.27932468256829546</v>
      </c>
      <c r="T27">
        <f ca="1"/>
        <v>-3.2511829568269764E-2</v>
      </c>
      <c r="U27" s="5" t="s">
        <v>85</v>
      </c>
      <c r="X27">
        <f ca="1">-S27*$Z$4</f>
        <v>2.7932468256829546E-2</v>
      </c>
      <c r="Y27">
        <f ca="1">-T27*$Z$4</f>
        <v>3.2511829568269766E-3</v>
      </c>
    </row>
    <row r="28" spans="4:25" x14ac:dyDescent="0.25">
      <c r="S28">
        <f ca="1"/>
        <v>-1.6269009375262657</v>
      </c>
      <c r="T28">
        <f ca="1"/>
        <v>-0.18936216276690718</v>
      </c>
      <c r="X28">
        <f t="shared" ref="X28:X31" ca="1" si="10">-S28*$Z$4</f>
        <v>0.16269009375262658</v>
      </c>
      <c r="Y28">
        <f t="shared" ref="Y28:Y36" ca="1" si="11">-T28*$Z$4</f>
        <v>1.8936216276690718E-2</v>
      </c>
    </row>
    <row r="29" spans="4:25" x14ac:dyDescent="0.25">
      <c r="S29">
        <f ca="1"/>
        <v>3.1237898525007836E-2</v>
      </c>
      <c r="T29">
        <f ca="1"/>
        <v>3.6359165383375801E-3</v>
      </c>
      <c r="X29">
        <f t="shared" ca="1" si="10"/>
        <v>-3.1237898525007836E-3</v>
      </c>
      <c r="Y29">
        <f t="shared" ca="1" si="11"/>
        <v>-3.6359165383375805E-4</v>
      </c>
    </row>
    <row r="30" spans="4:25" x14ac:dyDescent="0.25">
      <c r="S30">
        <f ca="1"/>
        <v>1.2465093461210215</v>
      </c>
      <c r="T30">
        <f ca="1"/>
        <v>0.14508671071856771</v>
      </c>
      <c r="X30">
        <f t="shared" ca="1" si="10"/>
        <v>-0.12465093461210215</v>
      </c>
      <c r="Y30">
        <f t="shared" ca="1" si="11"/>
        <v>-1.4508671071856771E-2</v>
      </c>
    </row>
    <row r="31" spans="4:25" x14ac:dyDescent="0.25">
      <c r="S31">
        <f ca="1"/>
        <v>1.1787138076224895</v>
      </c>
      <c r="T31">
        <f ca="1"/>
        <v>0.13719568951382896</v>
      </c>
      <c r="X31">
        <f t="shared" ca="1" si="10"/>
        <v>-0.11787138076224896</v>
      </c>
      <c r="Y31">
        <f t="shared" ca="1" si="11"/>
        <v>-1.3719568951382898E-2</v>
      </c>
    </row>
    <row r="32" spans="4:25" x14ac:dyDescent="0.25">
      <c r="T32">
        <f ca="1">T22</f>
        <v>0.28121041473202096</v>
      </c>
      <c r="U32" s="5" t="s">
        <v>77</v>
      </c>
      <c r="Y32">
        <f t="shared" ca="1" si="11"/>
        <v>-2.8121041473202098E-2</v>
      </c>
    </row>
    <row r="33" spans="20:25" x14ac:dyDescent="0.25">
      <c r="T33">
        <f t="shared" ref="T33:T36" ca="1" si="12">T23</f>
        <v>1.6378842111735503</v>
      </c>
      <c r="Y33">
        <f t="shared" ca="1" si="11"/>
        <v>-0.16378842111735503</v>
      </c>
    </row>
    <row r="34" spans="20:25" x14ac:dyDescent="0.25">
      <c r="T34">
        <f t="shared" ca="1" si="12"/>
        <v>-3.1448786834032939E-2</v>
      </c>
      <c r="Y34">
        <f t="shared" ca="1" si="11"/>
        <v>3.1448786834032943E-3</v>
      </c>
    </row>
    <row r="35" spans="20:25" x14ac:dyDescent="0.25">
      <c r="T35">
        <f t="shared" ca="1" si="12"/>
        <v>-1.2549245808390996</v>
      </c>
      <c r="Y35">
        <f t="shared" ca="1" si="11"/>
        <v>0.12549245808390996</v>
      </c>
    </row>
    <row r="36" spans="20:25" x14ac:dyDescent="0.25">
      <c r="T36">
        <f t="shared" ca="1" si="12"/>
        <v>-1.1866713519340906</v>
      </c>
      <c r="Y36">
        <f t="shared" ca="1" si="11"/>
        <v>0.11866713519340906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35</vt:i4>
      </vt:variant>
    </vt:vector>
  </HeadingPairs>
  <TitlesOfParts>
    <vt:vector size="37" baseType="lpstr">
      <vt:lpstr>Sheet1</vt:lpstr>
      <vt:lpstr>BackProp</vt:lpstr>
      <vt:lpstr>Bias1</vt:lpstr>
      <vt:lpstr>Bias2</vt:lpstr>
      <vt:lpstr>current_epoch</vt:lpstr>
      <vt:lpstr>d_deltaX_d_omega_pr</vt:lpstr>
      <vt:lpstr>d_deltaY_d_omega_pr</vt:lpstr>
      <vt:lpstr>dE_d_deltaX</vt:lpstr>
      <vt:lpstr>dE_d_deltaY</vt:lpstr>
      <vt:lpstr>de_dpr</vt:lpstr>
      <vt:lpstr>de_dz2</vt:lpstr>
      <vt:lpstr>delta_B1</vt:lpstr>
      <vt:lpstr>delta_B2</vt:lpstr>
      <vt:lpstr>delta_W1</vt:lpstr>
      <vt:lpstr>delta_W2</vt:lpstr>
      <vt:lpstr>grad_b1</vt:lpstr>
      <vt:lpstr>grad_B2</vt:lpstr>
      <vt:lpstr>grad_W1</vt:lpstr>
      <vt:lpstr>grad_W2</vt:lpstr>
      <vt:lpstr>learning_rate</vt:lpstr>
      <vt:lpstr>new_b1</vt:lpstr>
      <vt:lpstr>new_b2</vt:lpstr>
      <vt:lpstr>new_w1</vt:lpstr>
      <vt:lpstr>new_w2</vt:lpstr>
      <vt:lpstr>num_iterations</vt:lpstr>
      <vt:lpstr>old_b1</vt:lpstr>
      <vt:lpstr>old_b2</vt:lpstr>
      <vt:lpstr>old_w1</vt:lpstr>
      <vt:lpstr>old_w2</vt:lpstr>
      <vt:lpstr>omega_in</vt:lpstr>
      <vt:lpstr>omega_out</vt:lpstr>
      <vt:lpstr>SAG_B1</vt:lpstr>
      <vt:lpstr>SAG_B2</vt:lpstr>
      <vt:lpstr>SAG_W1</vt:lpstr>
      <vt:lpstr>SAG_w2</vt:lpstr>
      <vt:lpstr>Wghts1</vt:lpstr>
      <vt:lpstr>Wghts2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evgeny</dc:creator>
  <cp:lastModifiedBy>evgeny</cp:lastModifiedBy>
  <cp:lastPrinted>2025-09-24T08:37:49Z</cp:lastPrinted>
  <dcterms:created xsi:type="dcterms:W3CDTF">2025-09-23T14:45:25Z</dcterms:created>
  <dcterms:modified xsi:type="dcterms:W3CDTF">2025-09-27T10:25:35Z</dcterms:modified>
</cp:coreProperties>
</file>